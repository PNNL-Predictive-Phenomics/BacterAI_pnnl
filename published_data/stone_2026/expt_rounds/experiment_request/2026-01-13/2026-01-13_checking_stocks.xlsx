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bram_stone_pnnl_gov/Documents/Documents/projects/ppi/data/P_putida_AG5577_baseline/experiment_request/2026-01-13/"/>
    </mc:Choice>
  </mc:AlternateContent>
  <xr:revisionPtr revIDLastSave="62" documentId="8_{4683A5ED-B804-F145-8C95-02030E13A20D}" xr6:coauthVersionLast="47" xr6:coauthVersionMax="47" xr10:uidLastSave="{A25A849A-8763-0E4E-9E19-D05C55517DC4}"/>
  <bookViews>
    <workbookView xWindow="46780" yWindow="5420" windowWidth="23800" windowHeight="19520" xr2:uid="{59926747-AD5B-EB48-895A-9F2803C42401}"/>
  </bookViews>
  <sheets>
    <sheet name="source_plate_pipetting_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9" i="1"/>
  <c r="F8" i="1"/>
  <c r="F7" i="1"/>
  <c r="F4" i="1"/>
  <c r="F3" i="1"/>
  <c r="F2" i="1"/>
</calcChain>
</file>

<file path=xl/sharedStrings.xml><?xml version="1.0" encoding="utf-8"?>
<sst xmlns="http://schemas.openxmlformats.org/spreadsheetml/2006/main" count="85" uniqueCount="56">
  <si>
    <t>stock</t>
  </si>
  <si>
    <t>Source Well</t>
  </si>
  <si>
    <t>volume</t>
  </si>
  <si>
    <t>50.0 ul</t>
  </si>
  <si>
    <t>ammonium_chloride</t>
  </si>
  <si>
    <t>A03</t>
  </si>
  <si>
    <t>d_glucose</t>
  </si>
  <si>
    <t>A04</t>
  </si>
  <si>
    <t>glycerophosphoric_acid</t>
  </si>
  <si>
    <t>A05</t>
  </si>
  <si>
    <t>mme_trace_minerals</t>
  </si>
  <si>
    <t>A08</t>
  </si>
  <si>
    <t>oxyrase</t>
  </si>
  <si>
    <t>A09</t>
  </si>
  <si>
    <t>potassium_chloride</t>
  </si>
  <si>
    <t>A11</t>
  </si>
  <si>
    <t>sodium_acetate</t>
  </si>
  <si>
    <t>A12</t>
  </si>
  <si>
    <t>sodium_benzoate</t>
  </si>
  <si>
    <t>A13</t>
  </si>
  <si>
    <t>sodium_chloride</t>
  </si>
  <si>
    <t>A14</t>
  </si>
  <si>
    <t>sodium_citrate</t>
  </si>
  <si>
    <t>A16</t>
  </si>
  <si>
    <t>sodium_formate</t>
  </si>
  <si>
    <t>A17</t>
  </si>
  <si>
    <t>sodium_octanoate</t>
  </si>
  <si>
    <t>A18</t>
  </si>
  <si>
    <t>urea</t>
  </si>
  <si>
    <t>A19</t>
  </si>
  <si>
    <t>3.5 M</t>
  </si>
  <si>
    <t>5 M</t>
  </si>
  <si>
    <t>2 M</t>
  </si>
  <si>
    <t>0.2 M</t>
  </si>
  <si>
    <t>1000X</t>
  </si>
  <si>
    <t>100X</t>
  </si>
  <si>
    <t>2.5 M</t>
  </si>
  <si>
    <t>4 M</t>
  </si>
  <si>
    <t>0.5 M</t>
  </si>
  <si>
    <t>0.3 M</t>
  </si>
  <si>
    <t>originally stated conc</t>
  </si>
  <si>
    <t>stock X</t>
  </si>
  <si>
    <t>media: MME (-TM - N), pH 5</t>
  </si>
  <si>
    <t>status</t>
  </si>
  <si>
    <t>Need to make</t>
  </si>
  <si>
    <t>Have</t>
  </si>
  <si>
    <t>Have (120 uL)</t>
  </si>
  <si>
    <t>media: MME (-TM - N), pH 7</t>
  </si>
  <si>
    <t>media: MME (-TM - N), pH 9</t>
  </si>
  <si>
    <t>1X</t>
  </si>
  <si>
    <t>Have (~50 uL)</t>
  </si>
  <si>
    <t>Need to make 2 M from 2.5 M</t>
  </si>
  <si>
    <t>Need to make 0.2 M from 0.5 M</t>
  </si>
  <si>
    <t>notes</t>
  </si>
  <si>
    <t>Remind Andrew to prepare 0.2 M</t>
  </si>
  <si>
    <t>Reducing from 2.5 to 2.0 M to limit exceptions - remind Andrew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</si>
</sst>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098D-E7BB-EA4F-87A1-21C75D3620E0}">
  <dimension ref="A1:H18"/>
  <sheetViews>
    <sheetView tabSelected="1" workbookViewId="0">
      <selection activeCell="I17" sqref="I17"/>
    </sheetView>
  </sheetViews>
  <sheetFormatPr baseColWidth="10" defaultRowHeight="16" x14ac:dyDescent="0.2"/>
  <cols>
    <col min="1" max="1" width="20.5" bestFit="1" customWidth="1"/>
    <col min="4" max="4" width="18.5" bestFit="1" customWidth="1"/>
    <col min="5" max="5" width="25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40</v>
      </c>
      <c r="E1" t="s">
        <v>43</v>
      </c>
      <c r="F1" t="s">
        <v>41</v>
      </c>
      <c r="H1" t="s">
        <v>53</v>
      </c>
    </row>
    <row r="2" spans="1:8" x14ac:dyDescent="0.2">
      <c r="A2" t="s">
        <v>4</v>
      </c>
      <c r="B2" t="s">
        <v>5</v>
      </c>
      <c r="C2" t="s">
        <v>3</v>
      </c>
      <c r="D2" t="s">
        <v>31</v>
      </c>
      <c r="E2" t="s">
        <v>44</v>
      </c>
      <c r="F2" t="str">
        <f>5000/1 &amp; "X"</f>
        <v>5000X</v>
      </c>
    </row>
    <row r="3" spans="1:8" x14ac:dyDescent="0.2">
      <c r="A3" t="s">
        <v>6</v>
      </c>
      <c r="B3" t="s">
        <v>7</v>
      </c>
      <c r="C3" t="s">
        <v>3</v>
      </c>
      <c r="D3" t="s">
        <v>32</v>
      </c>
      <c r="E3" t="s">
        <v>45</v>
      </c>
      <c r="F3" t="str">
        <f>2000/4 &amp; "X"</f>
        <v>500X</v>
      </c>
    </row>
    <row r="4" spans="1:8" x14ac:dyDescent="0.2">
      <c r="A4" t="s">
        <v>8</v>
      </c>
      <c r="B4" t="s">
        <v>9</v>
      </c>
      <c r="C4" t="s">
        <v>3</v>
      </c>
      <c r="D4" t="s">
        <v>33</v>
      </c>
      <c r="E4" t="s">
        <v>52</v>
      </c>
      <c r="F4" t="str">
        <f>500/10 &amp; "X"</f>
        <v>50X</v>
      </c>
      <c r="H4" t="s">
        <v>54</v>
      </c>
    </row>
    <row r="5" spans="1:8" x14ac:dyDescent="0.2">
      <c r="A5" t="s">
        <v>10</v>
      </c>
      <c r="B5" t="s">
        <v>11</v>
      </c>
      <c r="C5" t="s">
        <v>3</v>
      </c>
      <c r="D5" t="s">
        <v>34</v>
      </c>
      <c r="E5" t="s">
        <v>45</v>
      </c>
      <c r="F5" t="s">
        <v>34</v>
      </c>
    </row>
    <row r="6" spans="1:8" x14ac:dyDescent="0.2">
      <c r="A6" t="s">
        <v>12</v>
      </c>
      <c r="B6" t="s">
        <v>13</v>
      </c>
      <c r="C6" t="s">
        <v>3</v>
      </c>
      <c r="D6" t="s">
        <v>35</v>
      </c>
      <c r="E6" t="s">
        <v>45</v>
      </c>
      <c r="F6" t="s">
        <v>35</v>
      </c>
    </row>
    <row r="7" spans="1:8" x14ac:dyDescent="0.2">
      <c r="A7" t="s">
        <v>14</v>
      </c>
      <c r="B7" t="s">
        <v>15</v>
      </c>
      <c r="C7" t="s">
        <v>3</v>
      </c>
      <c r="D7" t="s">
        <v>30</v>
      </c>
      <c r="E7" t="s">
        <v>46</v>
      </c>
      <c r="F7" t="str">
        <f>3500 / 125 &amp; "X"</f>
        <v>28X</v>
      </c>
    </row>
    <row r="8" spans="1:8" x14ac:dyDescent="0.2">
      <c r="A8" t="s">
        <v>16</v>
      </c>
      <c r="B8" t="s">
        <v>17</v>
      </c>
      <c r="C8" t="s">
        <v>3</v>
      </c>
      <c r="D8" t="s">
        <v>32</v>
      </c>
      <c r="E8" t="s">
        <v>51</v>
      </c>
      <c r="F8" t="str">
        <f>2500/12 &amp; "X"</f>
        <v>208.333333333333X</v>
      </c>
    </row>
    <row r="9" spans="1:8" x14ac:dyDescent="0.2">
      <c r="A9" t="s">
        <v>18</v>
      </c>
      <c r="B9" t="s">
        <v>19</v>
      </c>
      <c r="C9" t="s">
        <v>3</v>
      </c>
      <c r="D9" t="s">
        <v>36</v>
      </c>
      <c r="E9" t="s">
        <v>50</v>
      </c>
      <c r="F9" t="str">
        <f>2500 / 2.5 &amp; "X"</f>
        <v>1000X</v>
      </c>
    </row>
    <row r="10" spans="1:8" x14ac:dyDescent="0.2">
      <c r="A10" t="s">
        <v>20</v>
      </c>
      <c r="B10" t="s">
        <v>21</v>
      </c>
      <c r="C10" t="s">
        <v>3</v>
      </c>
      <c r="D10" t="s">
        <v>37</v>
      </c>
      <c r="E10" t="s">
        <v>45</v>
      </c>
      <c r="F10" t="str">
        <f>4000/125 &amp; "X"</f>
        <v>32X</v>
      </c>
    </row>
    <row r="11" spans="1:8" x14ac:dyDescent="0.2">
      <c r="A11" t="s">
        <v>22</v>
      </c>
      <c r="B11" t="s">
        <v>23</v>
      </c>
      <c r="C11" t="s">
        <v>3</v>
      </c>
      <c r="D11" t="s">
        <v>38</v>
      </c>
      <c r="E11" t="s">
        <v>45</v>
      </c>
      <c r="F11" t="str">
        <f>500/4 &amp; "X"</f>
        <v>125X</v>
      </c>
      <c r="H11" t="s">
        <v>55</v>
      </c>
    </row>
    <row r="12" spans="1:8" x14ac:dyDescent="0.2">
      <c r="A12" t="s">
        <v>24</v>
      </c>
      <c r="B12" t="s">
        <v>25</v>
      </c>
      <c r="C12" t="s">
        <v>3</v>
      </c>
      <c r="D12" t="s">
        <v>31</v>
      </c>
      <c r="E12" t="s">
        <v>45</v>
      </c>
      <c r="F12" t="str">
        <f>5000/10 &amp; "X"</f>
        <v>500X</v>
      </c>
    </row>
    <row r="13" spans="1:8" x14ac:dyDescent="0.2">
      <c r="A13" t="s">
        <v>26</v>
      </c>
      <c r="B13" t="s">
        <v>27</v>
      </c>
      <c r="C13" t="s">
        <v>3</v>
      </c>
      <c r="D13" t="s">
        <v>39</v>
      </c>
      <c r="E13" t="s">
        <v>45</v>
      </c>
      <c r="F13" t="str">
        <f>300 / 2 &amp;"X"</f>
        <v>150X</v>
      </c>
    </row>
    <row r="14" spans="1:8" x14ac:dyDescent="0.2">
      <c r="A14" t="s">
        <v>28</v>
      </c>
      <c r="B14" t="s">
        <v>29</v>
      </c>
      <c r="C14" t="s">
        <v>3</v>
      </c>
      <c r="D14" t="s">
        <v>31</v>
      </c>
      <c r="E14" t="s">
        <v>45</v>
      </c>
      <c r="F14" t="str">
        <f>5000 / 0.5 &amp;"X"</f>
        <v>10000X</v>
      </c>
    </row>
    <row r="16" spans="1:8" x14ac:dyDescent="0.2">
      <c r="A16" t="s">
        <v>42</v>
      </c>
      <c r="D16" t="s">
        <v>49</v>
      </c>
      <c r="E16" t="s">
        <v>45</v>
      </c>
    </row>
    <row r="17" spans="1:5" x14ac:dyDescent="0.2">
      <c r="A17" t="s">
        <v>47</v>
      </c>
      <c r="D17" t="s">
        <v>49</v>
      </c>
      <c r="E17" t="s">
        <v>45</v>
      </c>
    </row>
    <row r="18" spans="1:5" x14ac:dyDescent="0.2">
      <c r="A18" t="s">
        <v>48</v>
      </c>
      <c r="D18" t="s">
        <v>49</v>
      </c>
      <c r="E18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source_plate_pipetting_map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Stone, Bram W</cp:lastModifiedBy>
  <dcterms:created xsi:type="dcterms:W3CDTF">2026-01-13T19:04:52Z</dcterms:created>
  <dcterms:modified xsi:type="dcterms:W3CDTF">2026-01-13T19:55:34Z</dcterms:modified>
</cp:coreProperties>
</file>