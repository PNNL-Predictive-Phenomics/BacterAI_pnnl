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bram_stone_pnnl_gov/Documents/Documents/projects/ppi/data/P_putida_AG5577_baseline/"/>
    </mc:Choice>
  </mc:AlternateContent>
  <xr:revisionPtr revIDLastSave="421" documentId="8_{7F58A3C3-DAA2-564F-85ED-E8E4C099C3DF}" xr6:coauthVersionLast="47" xr6:coauthVersionMax="47" xr10:uidLastSave="{90F55D59-2CC2-B04F-940E-D90E05E356FC}"/>
  <bookViews>
    <workbookView xWindow="20" yWindow="760" windowWidth="29520" windowHeight="13740" activeTab="1" xr2:uid="{D14A359E-744E-7C44-B0ED-A6A10D00023B}"/>
  </bookViews>
  <sheets>
    <sheet name="Sheet1" sheetId="1" r:id="rId1"/>
    <sheet name="c_compound_convers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C11" i="2"/>
  <c r="C14" i="2" l="1"/>
  <c r="F5" i="2"/>
  <c r="I19" i="2"/>
  <c r="H19" i="2"/>
  <c r="E5" i="2"/>
  <c r="O36" i="2"/>
  <c r="G35" i="2" l="1"/>
  <c r="L36" i="2"/>
  <c r="M36" i="2" s="1"/>
  <c r="N36" i="2" s="1"/>
  <c r="D36" i="2"/>
  <c r="C16" i="2"/>
  <c r="D16" i="2" s="1"/>
  <c r="E16" i="2" s="1"/>
  <c r="N11" i="2"/>
  <c r="E11" i="2"/>
  <c r="F11" i="2"/>
  <c r="G11" i="2" s="1"/>
  <c r="D35" i="2"/>
  <c r="G34" i="2"/>
  <c r="N7" i="2"/>
  <c r="E7" i="2"/>
  <c r="C7" i="2"/>
  <c r="F7" i="2" s="1"/>
  <c r="G7" i="2" s="1"/>
  <c r="F14" i="2"/>
  <c r="C4" i="2"/>
  <c r="C5" i="2"/>
  <c r="C6" i="2"/>
  <c r="C8" i="2"/>
  <c r="C9" i="2"/>
  <c r="C10" i="2"/>
  <c r="C12" i="2"/>
  <c r="F12" i="2" s="1"/>
  <c r="C13" i="2"/>
  <c r="F13" i="2" s="1"/>
  <c r="C15" i="2"/>
  <c r="F15" i="2" s="1"/>
  <c r="C2" i="2"/>
  <c r="C42" i="2"/>
  <c r="C43" i="2"/>
  <c r="C44" i="2"/>
  <c r="C45" i="2"/>
  <c r="C46" i="2"/>
  <c r="C47" i="2"/>
  <c r="C48" i="2"/>
  <c r="C41" i="2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1" i="2"/>
  <c r="G41" i="2" s="1"/>
  <c r="E3" i="2"/>
  <c r="E4" i="2"/>
  <c r="E6" i="2"/>
  <c r="E8" i="2"/>
  <c r="E9" i="2"/>
  <c r="E10" i="2"/>
  <c r="E12" i="2"/>
  <c r="E13" i="2"/>
  <c r="E14" i="2"/>
  <c r="E15" i="2"/>
  <c r="E2" i="2"/>
  <c r="D27" i="2"/>
  <c r="D37" i="2"/>
  <c r="D24" i="2"/>
  <c r="D25" i="2"/>
  <c r="D26" i="2"/>
  <c r="D28" i="2"/>
  <c r="D30" i="2"/>
  <c r="D31" i="2"/>
  <c r="D32" i="2"/>
  <c r="D33" i="2"/>
  <c r="D29" i="2"/>
  <c r="D23" i="2"/>
  <c r="I44" i="2" s="1"/>
  <c r="N5" i="2"/>
  <c r="D41" i="2" s="1"/>
  <c r="E41" i="2" s="1"/>
  <c r="N6" i="2"/>
  <c r="D46" i="2" s="1"/>
  <c r="E46" i="2" s="1"/>
  <c r="N3" i="2"/>
  <c r="D44" i="2" s="1"/>
  <c r="E44" i="2" s="1"/>
  <c r="N2" i="2"/>
  <c r="D43" i="2" s="1"/>
  <c r="E43" i="2" s="1"/>
  <c r="N8" i="2"/>
  <c r="N4" i="2"/>
  <c r="D45" i="2" s="1"/>
  <c r="E45" i="2" s="1"/>
  <c r="N12" i="2"/>
  <c r="N13" i="2"/>
  <c r="N14" i="2"/>
  <c r="N9" i="2"/>
  <c r="D48" i="2" s="1"/>
  <c r="E48" i="2" s="1"/>
  <c r="N15" i="2"/>
  <c r="N10" i="2"/>
  <c r="F16" i="2" l="1"/>
  <c r="G16" i="2" s="1"/>
  <c r="D47" i="2"/>
  <c r="E47" i="2" s="1"/>
  <c r="H47" i="2" s="1"/>
  <c r="H45" i="2"/>
  <c r="H48" i="2"/>
  <c r="H44" i="2"/>
  <c r="L44" i="2"/>
  <c r="H41" i="2"/>
  <c r="H46" i="2"/>
  <c r="H43" i="2"/>
  <c r="F8" i="2"/>
  <c r="G8" i="2" s="1"/>
  <c r="I43" i="2"/>
  <c r="J44" i="2"/>
  <c r="K44" i="2" s="1"/>
  <c r="I41" i="2"/>
  <c r="I48" i="2"/>
  <c r="I47" i="2"/>
  <c r="I46" i="2"/>
  <c r="I45" i="2"/>
  <c r="F3" i="2"/>
  <c r="G3" i="2" s="1"/>
  <c r="G15" i="2"/>
  <c r="F6" i="2"/>
  <c r="G6" i="2" s="1"/>
  <c r="G14" i="2"/>
  <c r="G13" i="2"/>
  <c r="F2" i="2"/>
  <c r="G2" i="2" s="1"/>
  <c r="G12" i="2"/>
  <c r="F10" i="2"/>
  <c r="G10" i="2" s="1"/>
  <c r="F9" i="2"/>
  <c r="G9" i="2" s="1"/>
  <c r="G5" i="2"/>
  <c r="F4" i="2"/>
  <c r="G4" i="2" s="1"/>
  <c r="J43" i="2" l="1"/>
  <c r="K43" i="2" s="1"/>
  <c r="L43" i="2"/>
  <c r="J45" i="2"/>
  <c r="K45" i="2" s="1"/>
  <c r="L45" i="2"/>
  <c r="J46" i="2"/>
  <c r="K46" i="2" s="1"/>
  <c r="L46" i="2"/>
  <c r="J47" i="2"/>
  <c r="K47" i="2" s="1"/>
  <c r="L47" i="2"/>
  <c r="J48" i="2"/>
  <c r="K48" i="2" s="1"/>
  <c r="L48" i="2"/>
  <c r="J41" i="2"/>
  <c r="K41" i="2" s="1"/>
  <c r="L41" i="2"/>
</calcChain>
</file>

<file path=xl/sharedStrings.xml><?xml version="1.0" encoding="utf-8"?>
<sst xmlns="http://schemas.openxmlformats.org/spreadsheetml/2006/main" count="254" uniqueCount="140">
  <si>
    <t>INGREDIENT</t>
  </si>
  <si>
    <t>TYPE</t>
  </si>
  <si>
    <t>NOMINAL_VALUE</t>
  </si>
  <si>
    <t>MIN_VALUE</t>
  </si>
  <si>
    <t>MAX_VALUE</t>
  </si>
  <si>
    <t>UNIT</t>
  </si>
  <si>
    <t>N_STATES</t>
  </si>
  <si>
    <t>C_ATOMS</t>
  </si>
  <si>
    <t>N_ATOMS</t>
  </si>
  <si>
    <t>oxyrase</t>
  </si>
  <si>
    <t>binary</t>
  </si>
  <si>
    <t>NA</t>
  </si>
  <si>
    <t>d_glucose</t>
  </si>
  <si>
    <t>quantitative</t>
  </si>
  <si>
    <t>sodium_citrate</t>
  </si>
  <si>
    <t>sodium_octanoate</t>
  </si>
  <si>
    <t>sodium_acetate</t>
  </si>
  <si>
    <t>sodium_benzoate</t>
  </si>
  <si>
    <t>pH</t>
  </si>
  <si>
    <t>semi-quantitative</t>
  </si>
  <si>
    <t>sodium_chloride</t>
  </si>
  <si>
    <t>potassium_chloride</t>
  </si>
  <si>
    <t>Wolfes_trace_metals</t>
  </si>
  <si>
    <t>urea</t>
  </si>
  <si>
    <t>ammonium_chloride</t>
  </si>
  <si>
    <t>MW (g / mol)</t>
  </si>
  <si>
    <t>stock concentration M</t>
  </si>
  <si>
    <t>final concentration mM</t>
  </si>
  <si>
    <t>vol of stock for final concentration nL</t>
  </si>
  <si>
    <t>Echo aliquots</t>
  </si>
  <si>
    <t>C</t>
  </si>
  <si>
    <t>H</t>
  </si>
  <si>
    <t>N</t>
  </si>
  <si>
    <t>O</t>
  </si>
  <si>
    <t>P</t>
  </si>
  <si>
    <t>S</t>
  </si>
  <si>
    <t>NOSC</t>
  </si>
  <si>
    <t>Na</t>
  </si>
  <si>
    <t>K</t>
  </si>
  <si>
    <t>Cl</t>
  </si>
  <si>
    <t>p_coumaric_acid</t>
  </si>
  <si>
    <t>fill well volume (uL)</t>
  </si>
  <si>
    <t>max well volume (uL)</t>
  </si>
  <si>
    <t>purpose of this document is to see whether we can feasibly mix up the stock solutions to the necessary concentrations for the Echo to deliver in nL</t>
  </si>
  <si>
    <t>MW (g per mol)</t>
  </si>
  <si>
    <t>max g per 100 mL (solubility limit)</t>
  </si>
  <si>
    <t>max molarity (solubility limit)</t>
  </si>
  <si>
    <t>stock molarity to actually make</t>
  </si>
  <si>
    <t>C source</t>
  </si>
  <si>
    <t>Andrew Frank could get 0.5 M. It initially formed foam after the filtration step (micelles?) but that went away</t>
  </si>
  <si>
    <t>C and N source</t>
  </si>
  <si>
    <t>N source</t>
  </si>
  <si>
    <t>C atoms</t>
  </si>
  <si>
    <t>Cox Gibbs free energy (kJ per mol)</t>
  </si>
  <si>
    <t>proposed concentration mg per L</t>
  </si>
  <si>
    <t>proposed concentration mM</t>
  </si>
  <si>
    <t>potential energy (J)</t>
  </si>
  <si>
    <t>Stock X</t>
  </si>
  <si>
    <t>I tried to match the concentrations to potential energy</t>
  </si>
  <si>
    <t>Could dissolve P-coumaric acid in DMSO or ethanol</t>
  </si>
  <si>
    <t>Additional notes</t>
  </si>
  <si>
    <t>Carbon:</t>
  </si>
  <si>
    <r>
      <t xml:space="preserve">Nadal-Rey et al. (https://doi.org/10.1016/j.bej.2023.108989) model vast majority of cells (99.999%) see glucose concentrations from 1 - 45 g / m3 = </t>
    </r>
    <r>
      <rPr>
        <u/>
        <sz val="12"/>
        <color theme="1"/>
        <rFont val="Arial"/>
        <family val="2"/>
      </rPr>
      <t>1 - 45 mg / L</t>
    </r>
  </si>
  <si>
    <r>
      <t xml:space="preserve">Earlier work by the group also puts glucose concentrations for yeast in the range of </t>
    </r>
    <r>
      <rPr>
        <u/>
        <sz val="12"/>
        <color theme="1"/>
        <rFont val="Arial"/>
        <family val="2"/>
      </rPr>
      <t xml:space="preserve">0-80 mg glucose per L </t>
    </r>
    <r>
      <rPr>
        <sz val="12"/>
        <color theme="1"/>
        <rFont val="Arial"/>
        <family val="2"/>
      </rPr>
      <t>(Nadal-Rey et al. https://doi.org/10.1016/j.cej.2021.130402)</t>
    </r>
  </si>
  <si>
    <r>
      <t>The salt bioreactor provided glycerol at 270 mg per L with residual aromatic C sources at 80 - 90 mg per L (</t>
    </r>
    <r>
      <rPr>
        <u/>
        <sz val="12"/>
        <color theme="1"/>
        <rFont val="Arial"/>
        <family val="2"/>
      </rPr>
      <t>total mg C compounds: 350 - 360 mg per L</t>
    </r>
    <r>
      <rPr>
        <sz val="12"/>
        <color theme="1"/>
        <rFont val="Arial"/>
        <family val="2"/>
      </rPr>
      <t>)</t>
    </r>
  </si>
  <si>
    <r>
      <t>A fermentation reactor added carbon sources to maintain between 5 - 12 g / L =</t>
    </r>
    <r>
      <rPr>
        <u/>
        <sz val="12"/>
        <color theme="1"/>
        <rFont val="Arial"/>
        <family val="2"/>
      </rPr>
      <t xml:space="preserve"> 5,000 - 12,000 mg / L</t>
    </r>
    <r>
      <rPr>
        <sz val="12"/>
        <color theme="1"/>
        <rFont val="Arial"/>
        <family val="2"/>
      </rPr>
      <t xml:space="preserve"> (Choi et al. https://doi.org/10.1002/bit.25988) and batch experiments with glucose starting at 18 g per L</t>
    </r>
  </si>
  <si>
    <r>
      <t xml:space="preserve">Enfors et al. found mean glucose concentrations at </t>
    </r>
    <r>
      <rPr>
        <u/>
        <sz val="12"/>
        <color theme="1"/>
        <rFont val="Arial"/>
        <family val="2"/>
      </rPr>
      <t xml:space="preserve">27 - 57 mg / L </t>
    </r>
    <r>
      <rPr>
        <sz val="12"/>
        <color theme="1"/>
        <rFont val="Arial"/>
        <family val="2"/>
      </rPr>
      <t>(https://doi.org/10.1016/S0168-1656(00)00365-5)</t>
    </r>
  </si>
  <si>
    <r>
      <t>Bylund et al.</t>
    </r>
    <r>
      <rPr>
        <u/>
        <sz val="12"/>
        <color theme="1"/>
        <rFont val="Arial"/>
        <family val="2"/>
      </rPr>
      <t xml:space="preserve"> added glucose at 15 mg / L</t>
    </r>
    <r>
      <rPr>
        <sz val="12"/>
        <color theme="1"/>
        <rFont val="Arial"/>
        <family val="2"/>
      </rPr>
      <t xml:space="preserve"> and it was kept constant at around 10 mg / L (https://doi.org/10.1007/s004490050427). Their intent was keep C sources low enough to avoid oxygen depletion.</t>
    </r>
  </si>
  <si>
    <t xml:space="preserve">     Acetate was also in this same range (1-10 mg per L)</t>
  </si>
  <si>
    <r>
      <t xml:space="preserve"> </t>
    </r>
    <r>
      <rPr>
        <u/>
        <sz val="12"/>
        <color theme="1"/>
        <rFont val="Arial"/>
        <family val="2"/>
      </rPr>
      <t>Salt</t>
    </r>
    <r>
      <rPr>
        <sz val="12"/>
        <color theme="1"/>
        <rFont val="Arial"/>
        <family val="2"/>
      </rPr>
      <t>:</t>
    </r>
  </si>
  <si>
    <t xml:space="preserve">the amounts of salt to add were guided from some of my Pauling work: </t>
  </si>
  <si>
    <t>from Altendorf et al. 2009 (https://doi.org/10.1128/ecosalplus.5.4.5), osmoregulatory response kicks off in model organisms at osmotic pressures  of -1.2 MPa and osmolality of 0.5</t>
  </si>
  <si>
    <t>given that NaCl (and KCl) dissociates into two ions, osmolality of 0.5 means half as many moles, so 0.25 mol NaCl (or KCl) = 14,610 mg per L</t>
  </si>
  <si>
    <t>BUT WHAT IS REALISTIC FOR BIOREACTOR ACCUMULATION?</t>
  </si>
  <si>
    <t>A bioreactor system meant for halophiles used 150 g per L NaCl = 2.5 M (Mahler et al. https://doi.org/10.1016/j.bej.2017.11.006)</t>
  </si>
  <si>
    <t>A bioreactor for an osmotolerant yeast used 2 M NaCl = 2,000 mM = 116 g per L NaCl (Djehl et al. https://doi.org/10.1016/j.jbiotec.2006.02.005)</t>
  </si>
  <si>
    <r>
      <t xml:space="preserve">Choi et al. used a medium of 1 g / L NaCl = </t>
    </r>
    <r>
      <rPr>
        <u/>
        <sz val="12"/>
        <color theme="1"/>
        <rFont val="ArialMT"/>
      </rPr>
      <t xml:space="preserve">1,000 mg / L NaCl </t>
    </r>
    <r>
      <rPr>
        <sz val="12"/>
        <color theme="1"/>
        <rFont val="ArialMT"/>
        <family val="2"/>
      </rPr>
      <t xml:space="preserve">and which also had </t>
    </r>
    <r>
      <rPr>
        <u/>
        <sz val="12"/>
        <color theme="1"/>
        <rFont val="ArialMT"/>
      </rPr>
      <t xml:space="preserve">8.709 g / L of K2HPO4 = 8,709 mg / L </t>
    </r>
    <r>
      <rPr>
        <sz val="12"/>
        <color theme="1"/>
        <rFont val="ArialMT"/>
        <family val="2"/>
      </rPr>
      <t>(https://doi.org/10.1002/bit.25988)</t>
    </r>
  </si>
  <si>
    <t>stress</t>
  </si>
  <si>
    <t>mme_trace_minerals</t>
  </si>
  <si>
    <t>Stock is 1000X; MME trace minerals = M9 trace minerals</t>
  </si>
  <si>
    <t>NA_ATOMS</t>
  </si>
  <si>
    <t>CL_ATOMS</t>
  </si>
  <si>
    <t>1X_dilution</t>
  </si>
  <si>
    <t>O2</t>
  </si>
  <si>
    <t>O2::oxyrase</t>
  </si>
  <si>
    <t>O2::glycerophosphoric_acid</t>
  </si>
  <si>
    <t>O2::sodium_formate</t>
  </si>
  <si>
    <t>H2O2</t>
  </si>
  <si>
    <t>2.5 mM per Nikel et al. (https://doi.org/10.1038/s41396-020-00884-9)</t>
  </si>
  <si>
    <t>glycerophosphoric_acid</t>
  </si>
  <si>
    <t>sodium_formate</t>
  </si>
  <si>
    <t>M9</t>
  </si>
  <si>
    <t>water</t>
  </si>
  <si>
    <t>pH::5</t>
  </si>
  <si>
    <t>pH::7</t>
  </si>
  <si>
    <t>pH::9</t>
  </si>
  <si>
    <t>M9_pH5</t>
  </si>
  <si>
    <t>M9_pH9</t>
  </si>
  <si>
    <t>fill</t>
  </si>
  <si>
    <t>P_putida_AG5577</t>
  </si>
  <si>
    <t>strain</t>
  </si>
  <si>
    <t>SOURCE</t>
  </si>
  <si>
    <t>SOURCE_CONC</t>
  </si>
  <si>
    <t>environment</t>
  </si>
  <si>
    <r>
      <t xml:space="preserve">Progressive salt accumulation in a solid-state bioreactor starting at </t>
    </r>
    <r>
      <rPr>
        <u/>
        <sz val="12"/>
        <color theme="1"/>
        <rFont val="ArialMT"/>
      </rPr>
      <t>marine level of 18 g per L NaCl up to 65 g per L</t>
    </r>
    <r>
      <rPr>
        <sz val="12"/>
        <color theme="1"/>
        <rFont val="ArialMT"/>
        <family val="2"/>
      </rPr>
      <t xml:space="preserve"> (Torrado et al. https://doi.org/10.1002/jctb.3813</t>
    </r>
    <r>
      <rPr>
        <b/>
        <sz val="12"/>
        <color theme="1"/>
        <rFont val="ArialMT"/>
      </rPr>
      <t>)</t>
    </r>
  </si>
  <si>
    <t>mmol/L</t>
  </si>
  <si>
    <t>g/L</t>
  </si>
  <si>
    <t>ID</t>
  </si>
  <si>
    <t>OXYR</t>
  </si>
  <si>
    <t>GLPA</t>
  </si>
  <si>
    <t>GLUC</t>
  </si>
  <si>
    <t>NACL</t>
  </si>
  <si>
    <t>KCL</t>
  </si>
  <si>
    <t>MME</t>
  </si>
  <si>
    <t>UREA</t>
  </si>
  <si>
    <t>FORM</t>
  </si>
  <si>
    <t>OCTN</t>
  </si>
  <si>
    <t>ACET</t>
  </si>
  <si>
    <t>BENZ</t>
  </si>
  <si>
    <t>NH4</t>
  </si>
  <si>
    <t>CITR</t>
  </si>
  <si>
    <t>PpAG5577</t>
  </si>
  <si>
    <t>pH5</t>
  </si>
  <si>
    <t>pH7</t>
  </si>
  <si>
    <t>pH9</t>
  </si>
  <si>
    <t>Oxyrase substrate</t>
  </si>
  <si>
    <t>glycerophosphoric acid</t>
  </si>
  <si>
    <t>resazurin</t>
  </si>
  <si>
    <t>Oxygen sensitive dye</t>
  </si>
  <si>
    <t>working conc. is 1 g / L</t>
  </si>
  <si>
    <t>g / L</t>
  </si>
  <si>
    <t>mg / L</t>
  </si>
  <si>
    <t>mg / mL</t>
  </si>
  <si>
    <t>mg in 10 mL</t>
  </si>
  <si>
    <t>final concentration mg per L</t>
  </si>
  <si>
    <t>g / 100 mL</t>
  </si>
  <si>
    <t>g per L</t>
  </si>
  <si>
    <t>M</t>
  </si>
  <si>
    <t>mM</t>
  </si>
  <si>
    <t>1 M solution caused exceptions on the Echo, going to 0.5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</si>
</sst>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2"/>
      <color theme="1"/>
      <name val="ArialMT"/>
      <family val="2"/>
    </font>
    <font>
      <sz val="11"/>
      <color theme="1"/>
      <name val="Arial"/>
      <family val="2"/>
    </font>
    <font>
      <sz val="12"/>
      <color theme="1"/>
      <name val="ArialMT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MT"/>
    </font>
    <font>
      <b/>
      <sz val="12"/>
      <color theme="1"/>
      <name val="ArialMT"/>
    </font>
    <font>
      <u/>
      <sz val="12"/>
      <color theme="1"/>
      <name val="ArialM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43" fontId="0" fillId="0" borderId="0" xfId="1" applyFont="1" applyAlignment="1">
      <alignment wrapText="1"/>
    </xf>
    <xf numFmtId="2" fontId="0" fillId="0" borderId="0" xfId="1" applyNumberFormat="1" applyFont="1"/>
    <xf numFmtId="0" fontId="0" fillId="0" borderId="0" xfId="0" applyAlignment="1">
      <alignment horizontal="left" wrapText="1"/>
    </xf>
    <xf numFmtId="0" fontId="0" fillId="2" borderId="0" xfId="0" applyFill="1"/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vertical="center"/>
    </xf>
    <xf numFmtId="2" fontId="0" fillId="2" borderId="0" xfId="0" applyNumberFormat="1" applyFill="1"/>
    <xf numFmtId="2" fontId="0" fillId="3" borderId="0" xfId="0" applyNumberFormat="1" applyFill="1"/>
    <xf numFmtId="0" fontId="6" fillId="0" borderId="0" xfId="0" applyFont="1"/>
    <xf numFmtId="2" fontId="0" fillId="4" borderId="0" xfId="0" applyNumberFormat="1" applyFill="1"/>
    <xf numFmtId="0" fontId="1" fillId="5" borderId="0" xfId="0" applyFont="1" applyFill="1" applyAlignment="1">
      <alignment vertical="center"/>
    </xf>
    <xf numFmtId="0" fontId="0" fillId="5" borderId="0" xfId="0" applyFill="1"/>
    <xf numFmtId="2" fontId="0" fillId="5" borderId="0" xfId="0" applyNumberFormat="1" applyFill="1"/>
    <xf numFmtId="2" fontId="0" fillId="6" borderId="0" xfId="0" applyNumberFormat="1" applyFill="1"/>
    <xf numFmtId="0" fontId="7" fillId="0" borderId="0" xfId="0" applyFont="1"/>
    <xf numFmtId="2" fontId="0" fillId="7" borderId="0" xfId="0" applyNumberFormat="1" applyFill="1"/>
  </cellXfs>
  <cellStyles count="2">
    <cellStyle name="Comma" xfId="1" builtinId="3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A4B4-01E6-5947-9D05-D6B25BB84DB7}">
  <dimension ref="A1:P24"/>
  <sheetViews>
    <sheetView zoomScale="110" zoomScaleNormal="110" workbookViewId="0">
      <selection activeCell="I9" sqref="I9"/>
    </sheetView>
  </sheetViews>
  <sheetFormatPr baseColWidth="10" defaultColWidth="11.5703125" defaultRowHeight="16"/>
  <cols>
    <col min="2" max="2" width="21" bestFit="1" customWidth="1"/>
    <col min="3" max="3" width="12.7109375" bestFit="1" customWidth="1"/>
    <col min="4" max="4" width="10.140625" customWidth="1"/>
    <col min="5" max="5" width="21.7109375" customWidth="1"/>
    <col min="6" max="6" width="14" bestFit="1" customWidth="1"/>
    <col min="7" max="7" width="9.7109375" bestFit="1" customWidth="1"/>
    <col min="8" max="8" width="9.7109375" customWidth="1"/>
    <col min="9" max="9" width="13.28515625" bestFit="1" customWidth="1"/>
    <col min="10" max="10" width="10.140625" bestFit="1" customWidth="1"/>
    <col min="11" max="11" width="10.42578125" bestFit="1" customWidth="1"/>
    <col min="12" max="12" width="9" bestFit="1" customWidth="1"/>
    <col min="13" max="14" width="8.5703125" bestFit="1" customWidth="1"/>
  </cols>
  <sheetData>
    <row r="1" spans="1:16">
      <c r="A1" t="s">
        <v>107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101</v>
      </c>
      <c r="I1" s="1" t="s">
        <v>102</v>
      </c>
      <c r="J1" s="1" t="s">
        <v>5</v>
      </c>
      <c r="K1" s="1" t="s">
        <v>7</v>
      </c>
      <c r="L1" s="1" t="s">
        <v>8</v>
      </c>
      <c r="M1" s="1" t="s">
        <v>80</v>
      </c>
      <c r="N1" s="1" t="s">
        <v>81</v>
      </c>
      <c r="O1" s="1"/>
      <c r="P1" s="1"/>
    </row>
    <row r="2" spans="1:16">
      <c r="A2" t="s">
        <v>83</v>
      </c>
      <c r="B2" s="1" t="s">
        <v>83</v>
      </c>
      <c r="C2" s="1" t="s">
        <v>10</v>
      </c>
      <c r="D2">
        <v>2</v>
      </c>
      <c r="E2" s="1">
        <v>1</v>
      </c>
      <c r="F2" s="1">
        <v>0</v>
      </c>
      <c r="G2" s="1">
        <v>1</v>
      </c>
      <c r="H2" s="1" t="s">
        <v>11</v>
      </c>
      <c r="I2" s="1" t="s">
        <v>11</v>
      </c>
      <c r="J2" t="s">
        <v>11</v>
      </c>
      <c r="K2" s="1">
        <v>0</v>
      </c>
      <c r="L2">
        <v>0</v>
      </c>
      <c r="M2">
        <v>0</v>
      </c>
      <c r="N2">
        <v>0</v>
      </c>
      <c r="O2" s="1"/>
      <c r="P2" s="1"/>
    </row>
    <row r="3" spans="1:16">
      <c r="A3" t="s">
        <v>108</v>
      </c>
      <c r="B3" s="2" t="s">
        <v>84</v>
      </c>
      <c r="C3" t="s">
        <v>10</v>
      </c>
      <c r="D3">
        <v>2</v>
      </c>
      <c r="E3" s="1">
        <v>0</v>
      </c>
      <c r="F3" s="1">
        <v>0</v>
      </c>
      <c r="G3" s="1">
        <v>1</v>
      </c>
      <c r="H3" s="1" t="s">
        <v>9</v>
      </c>
      <c r="I3" s="1">
        <v>100</v>
      </c>
      <c r="J3" t="s">
        <v>82</v>
      </c>
      <c r="K3" s="1">
        <v>0</v>
      </c>
      <c r="L3">
        <v>0</v>
      </c>
      <c r="M3">
        <v>0</v>
      </c>
      <c r="N3">
        <v>0</v>
      </c>
      <c r="O3" s="1"/>
      <c r="P3" s="1"/>
    </row>
    <row r="4" spans="1:16">
      <c r="A4" t="s">
        <v>109</v>
      </c>
      <c r="B4" s="2" t="s">
        <v>85</v>
      </c>
      <c r="C4" t="s">
        <v>10</v>
      </c>
      <c r="D4">
        <v>2</v>
      </c>
      <c r="E4" s="1">
        <v>0</v>
      </c>
      <c r="F4" s="1">
        <v>0</v>
      </c>
      <c r="G4" s="1">
        <v>10</v>
      </c>
      <c r="H4" s="2" t="s">
        <v>89</v>
      </c>
      <c r="I4" s="1">
        <v>500</v>
      </c>
      <c r="J4" t="s">
        <v>105</v>
      </c>
      <c r="K4" s="1">
        <v>0</v>
      </c>
      <c r="L4">
        <v>0</v>
      </c>
      <c r="M4">
        <v>1</v>
      </c>
      <c r="N4">
        <v>0</v>
      </c>
    </row>
    <row r="5" spans="1:16">
      <c r="A5" t="s">
        <v>115</v>
      </c>
      <c r="B5" s="2" t="s">
        <v>86</v>
      </c>
      <c r="C5" t="s">
        <v>10</v>
      </c>
      <c r="D5">
        <v>2</v>
      </c>
      <c r="E5" s="1">
        <v>0</v>
      </c>
      <c r="F5" s="1">
        <v>0</v>
      </c>
      <c r="G5" s="1">
        <v>10</v>
      </c>
      <c r="H5" s="1" t="s">
        <v>90</v>
      </c>
      <c r="I5" s="1">
        <v>5000</v>
      </c>
      <c r="J5" t="s">
        <v>105</v>
      </c>
      <c r="K5" s="1">
        <v>0</v>
      </c>
      <c r="L5">
        <v>0</v>
      </c>
      <c r="M5">
        <v>1</v>
      </c>
      <c r="N5">
        <v>0</v>
      </c>
    </row>
    <row r="6" spans="1:16">
      <c r="A6" t="s">
        <v>110</v>
      </c>
      <c r="B6" s="2" t="s">
        <v>12</v>
      </c>
      <c r="C6" s="1" t="s">
        <v>13</v>
      </c>
      <c r="D6" t="s">
        <v>11</v>
      </c>
      <c r="E6" s="1">
        <v>4</v>
      </c>
      <c r="F6" s="1">
        <v>0</v>
      </c>
      <c r="G6" s="1">
        <v>4</v>
      </c>
      <c r="H6" s="1" t="s">
        <v>12</v>
      </c>
      <c r="I6" s="1">
        <v>2000</v>
      </c>
      <c r="J6" t="s">
        <v>105</v>
      </c>
      <c r="K6" s="1">
        <v>6</v>
      </c>
      <c r="L6">
        <v>0</v>
      </c>
      <c r="M6">
        <v>0</v>
      </c>
      <c r="N6">
        <v>0</v>
      </c>
    </row>
    <row r="7" spans="1:16">
      <c r="A7" t="s">
        <v>120</v>
      </c>
      <c r="B7" s="2" t="s">
        <v>14</v>
      </c>
      <c r="C7" s="1" t="s">
        <v>13</v>
      </c>
      <c r="D7" t="s">
        <v>11</v>
      </c>
      <c r="E7" s="1">
        <v>4</v>
      </c>
      <c r="F7" s="1">
        <v>0</v>
      </c>
      <c r="G7" s="1">
        <v>4</v>
      </c>
      <c r="H7" s="1" t="s">
        <v>14</v>
      </c>
      <c r="I7" s="1">
        <v>500</v>
      </c>
      <c r="J7" t="s">
        <v>105</v>
      </c>
      <c r="K7" s="1">
        <v>6</v>
      </c>
      <c r="L7">
        <v>0</v>
      </c>
      <c r="M7">
        <v>3</v>
      </c>
      <c r="N7">
        <v>0</v>
      </c>
    </row>
    <row r="8" spans="1:16">
      <c r="A8" t="s">
        <v>116</v>
      </c>
      <c r="B8" s="2" t="s">
        <v>15</v>
      </c>
      <c r="C8" s="1" t="s">
        <v>13</v>
      </c>
      <c r="D8" t="s">
        <v>11</v>
      </c>
      <c r="E8" s="1">
        <v>2</v>
      </c>
      <c r="F8" s="1">
        <v>0</v>
      </c>
      <c r="G8" s="1">
        <v>2</v>
      </c>
      <c r="H8" s="1" t="s">
        <v>15</v>
      </c>
      <c r="I8" s="1">
        <v>300</v>
      </c>
      <c r="J8" t="s">
        <v>105</v>
      </c>
      <c r="K8" s="1">
        <v>8</v>
      </c>
      <c r="L8">
        <v>0</v>
      </c>
      <c r="M8">
        <v>2</v>
      </c>
      <c r="N8">
        <v>0</v>
      </c>
    </row>
    <row r="9" spans="1:16">
      <c r="A9" t="s">
        <v>117</v>
      </c>
      <c r="B9" s="2" t="s">
        <v>16</v>
      </c>
      <c r="C9" s="1" t="s">
        <v>13</v>
      </c>
      <c r="D9" t="s">
        <v>11</v>
      </c>
      <c r="E9" s="1">
        <v>12</v>
      </c>
      <c r="F9" s="1">
        <v>0</v>
      </c>
      <c r="G9" s="1">
        <v>12</v>
      </c>
      <c r="H9" s="1" t="s">
        <v>16</v>
      </c>
      <c r="I9" s="1">
        <v>2500</v>
      </c>
      <c r="J9" t="s">
        <v>105</v>
      </c>
      <c r="K9" s="1">
        <v>2</v>
      </c>
      <c r="L9">
        <v>0</v>
      </c>
      <c r="M9">
        <v>1</v>
      </c>
      <c r="N9">
        <v>0</v>
      </c>
    </row>
    <row r="10" spans="1:16">
      <c r="A10" t="s">
        <v>118</v>
      </c>
      <c r="B10" s="2" t="s">
        <v>17</v>
      </c>
      <c r="C10" s="1" t="s">
        <v>13</v>
      </c>
      <c r="D10" t="s">
        <v>11</v>
      </c>
      <c r="E10" s="1">
        <v>2.5</v>
      </c>
      <c r="F10" s="1">
        <v>0</v>
      </c>
      <c r="G10" s="1">
        <v>2.5</v>
      </c>
      <c r="H10" s="1" t="s">
        <v>17</v>
      </c>
      <c r="I10" s="1">
        <v>2500</v>
      </c>
      <c r="J10" t="s">
        <v>105</v>
      </c>
      <c r="K10" s="1">
        <v>7</v>
      </c>
      <c r="L10">
        <v>0</v>
      </c>
      <c r="M10">
        <v>1</v>
      </c>
      <c r="N10">
        <v>0</v>
      </c>
    </row>
    <row r="11" spans="1:16">
      <c r="A11" t="s">
        <v>18</v>
      </c>
      <c r="B11" s="2" t="s">
        <v>18</v>
      </c>
      <c r="C11" s="1" t="s">
        <v>19</v>
      </c>
      <c r="D11" s="1">
        <v>3</v>
      </c>
      <c r="E11" s="1">
        <v>7</v>
      </c>
      <c r="F11" s="1">
        <v>5</v>
      </c>
      <c r="G11" s="1">
        <v>9</v>
      </c>
      <c r="H11" s="1" t="s">
        <v>11</v>
      </c>
      <c r="I11" s="1" t="s">
        <v>11</v>
      </c>
      <c r="J11" t="s">
        <v>18</v>
      </c>
      <c r="K11" s="1">
        <v>0</v>
      </c>
      <c r="L11">
        <v>0</v>
      </c>
      <c r="M11">
        <v>0</v>
      </c>
      <c r="N11">
        <v>0</v>
      </c>
    </row>
    <row r="12" spans="1:16">
      <c r="A12" t="s">
        <v>122</v>
      </c>
      <c r="B12" s="2" t="s">
        <v>93</v>
      </c>
      <c r="C12" s="1" t="s">
        <v>103</v>
      </c>
      <c r="D12" s="1" t="s">
        <v>11</v>
      </c>
      <c r="E12" s="1">
        <v>1</v>
      </c>
      <c r="F12" s="1">
        <v>1</v>
      </c>
      <c r="G12" s="1">
        <v>1</v>
      </c>
      <c r="H12" s="1" t="s">
        <v>96</v>
      </c>
      <c r="I12" s="1">
        <v>1</v>
      </c>
      <c r="J12" t="s">
        <v>82</v>
      </c>
      <c r="K12" s="1">
        <v>0</v>
      </c>
      <c r="L12">
        <v>0</v>
      </c>
      <c r="M12">
        <v>0</v>
      </c>
      <c r="N12">
        <v>0</v>
      </c>
    </row>
    <row r="13" spans="1:16">
      <c r="A13" t="s">
        <v>123</v>
      </c>
      <c r="B13" s="2" t="s">
        <v>94</v>
      </c>
      <c r="C13" s="1" t="s">
        <v>103</v>
      </c>
      <c r="D13" s="1" t="s">
        <v>11</v>
      </c>
      <c r="E13" s="1">
        <v>1</v>
      </c>
      <c r="F13" s="1">
        <v>1</v>
      </c>
      <c r="G13" s="1">
        <v>1</v>
      </c>
      <c r="H13" s="1" t="s">
        <v>91</v>
      </c>
      <c r="I13" s="1">
        <v>1</v>
      </c>
      <c r="J13" t="s">
        <v>82</v>
      </c>
      <c r="K13" s="1">
        <v>0</v>
      </c>
      <c r="L13">
        <v>0</v>
      </c>
      <c r="M13">
        <v>0</v>
      </c>
      <c r="N13">
        <v>0</v>
      </c>
    </row>
    <row r="14" spans="1:16">
      <c r="A14" t="s">
        <v>124</v>
      </c>
      <c r="B14" s="2" t="s">
        <v>95</v>
      </c>
      <c r="C14" s="1" t="s">
        <v>103</v>
      </c>
      <c r="D14" s="1" t="s">
        <v>11</v>
      </c>
      <c r="E14" s="1">
        <v>1</v>
      </c>
      <c r="F14" s="1">
        <v>1</v>
      </c>
      <c r="G14" s="1">
        <v>1</v>
      </c>
      <c r="H14" s="1" t="s">
        <v>97</v>
      </c>
      <c r="I14" s="1">
        <v>1</v>
      </c>
      <c r="J14" t="s">
        <v>82</v>
      </c>
      <c r="K14" s="1">
        <v>0</v>
      </c>
      <c r="L14">
        <v>0</v>
      </c>
      <c r="M14">
        <v>0</v>
      </c>
      <c r="N14">
        <v>0</v>
      </c>
    </row>
    <row r="15" spans="1:16">
      <c r="A15" t="s">
        <v>111</v>
      </c>
      <c r="B15" s="2" t="s">
        <v>20</v>
      </c>
      <c r="C15" s="1" t="s">
        <v>13</v>
      </c>
      <c r="D15" t="s">
        <v>11</v>
      </c>
      <c r="E15" s="1">
        <v>0</v>
      </c>
      <c r="F15" s="1">
        <v>0</v>
      </c>
      <c r="G15" s="1">
        <v>125</v>
      </c>
      <c r="H15" s="1" t="s">
        <v>20</v>
      </c>
      <c r="I15" s="1">
        <v>4000</v>
      </c>
      <c r="J15" t="s">
        <v>105</v>
      </c>
      <c r="K15" s="1">
        <v>0</v>
      </c>
      <c r="L15">
        <v>0</v>
      </c>
      <c r="M15">
        <v>1</v>
      </c>
      <c r="N15">
        <v>1</v>
      </c>
    </row>
    <row r="16" spans="1:16">
      <c r="A16" t="s">
        <v>112</v>
      </c>
      <c r="B16" s="2" t="s">
        <v>21</v>
      </c>
      <c r="C16" s="1" t="s">
        <v>13</v>
      </c>
      <c r="D16" t="s">
        <v>11</v>
      </c>
      <c r="E16" s="1">
        <v>0</v>
      </c>
      <c r="F16" s="1">
        <v>0</v>
      </c>
      <c r="G16" s="1">
        <v>125</v>
      </c>
      <c r="H16" s="1" t="s">
        <v>21</v>
      </c>
      <c r="I16" s="1">
        <v>3500</v>
      </c>
      <c r="J16" t="s">
        <v>105</v>
      </c>
      <c r="K16" s="1">
        <v>0</v>
      </c>
      <c r="L16">
        <v>0</v>
      </c>
      <c r="M16">
        <v>0</v>
      </c>
      <c r="N16">
        <v>1</v>
      </c>
    </row>
    <row r="17" spans="1:16">
      <c r="A17" t="s">
        <v>113</v>
      </c>
      <c r="B17" s="2" t="s">
        <v>78</v>
      </c>
      <c r="C17" s="1" t="s">
        <v>13</v>
      </c>
      <c r="D17" t="s">
        <v>11</v>
      </c>
      <c r="E17" s="1">
        <v>1</v>
      </c>
      <c r="F17" s="1">
        <v>0</v>
      </c>
      <c r="G17" s="1">
        <v>1</v>
      </c>
      <c r="H17" s="1" t="s">
        <v>78</v>
      </c>
      <c r="I17" s="1">
        <v>1000</v>
      </c>
      <c r="J17" t="s">
        <v>82</v>
      </c>
      <c r="K17" s="1">
        <v>0</v>
      </c>
      <c r="L17">
        <v>0</v>
      </c>
      <c r="M17">
        <v>0</v>
      </c>
      <c r="N17">
        <v>0</v>
      </c>
    </row>
    <row r="18" spans="1:16">
      <c r="A18" t="s">
        <v>114</v>
      </c>
      <c r="B18" s="2" t="s">
        <v>23</v>
      </c>
      <c r="C18" s="1" t="s">
        <v>13</v>
      </c>
      <c r="D18" t="s">
        <v>11</v>
      </c>
      <c r="E18" s="1">
        <v>0.5</v>
      </c>
      <c r="F18" s="1">
        <v>0</v>
      </c>
      <c r="G18" s="1">
        <v>0.5</v>
      </c>
      <c r="H18" s="1" t="s">
        <v>23</v>
      </c>
      <c r="I18" s="1">
        <v>5000</v>
      </c>
      <c r="J18" t="s">
        <v>105</v>
      </c>
      <c r="K18" s="1">
        <v>1</v>
      </c>
      <c r="L18" s="1">
        <v>2</v>
      </c>
      <c r="M18">
        <v>0</v>
      </c>
      <c r="N18">
        <v>0</v>
      </c>
    </row>
    <row r="19" spans="1:16">
      <c r="A19" t="s">
        <v>119</v>
      </c>
      <c r="B19" s="2" t="s">
        <v>24</v>
      </c>
      <c r="C19" s="1" t="s">
        <v>13</v>
      </c>
      <c r="D19" t="s">
        <v>11</v>
      </c>
      <c r="E19" s="1">
        <v>1</v>
      </c>
      <c r="F19" s="1">
        <v>0</v>
      </c>
      <c r="G19" s="1">
        <v>1</v>
      </c>
      <c r="H19" s="1" t="s">
        <v>24</v>
      </c>
      <c r="I19" s="1">
        <v>5000</v>
      </c>
      <c r="J19" t="s">
        <v>105</v>
      </c>
      <c r="K19" s="1">
        <v>0</v>
      </c>
      <c r="L19" s="1">
        <v>1</v>
      </c>
      <c r="M19">
        <v>0</v>
      </c>
      <c r="N19">
        <v>1</v>
      </c>
    </row>
    <row r="20" spans="1:16">
      <c r="A20" t="s">
        <v>92</v>
      </c>
      <c r="B20" s="2" t="s">
        <v>92</v>
      </c>
      <c r="C20" s="1" t="s">
        <v>98</v>
      </c>
      <c r="D20" s="1" t="s">
        <v>11</v>
      </c>
      <c r="E20" s="2">
        <v>1</v>
      </c>
      <c r="F20" s="1">
        <v>1</v>
      </c>
      <c r="G20" s="1">
        <v>1</v>
      </c>
      <c r="H20" s="1" t="s">
        <v>92</v>
      </c>
      <c r="I20" s="1">
        <v>0</v>
      </c>
      <c r="J20" s="1" t="s">
        <v>106</v>
      </c>
      <c r="K20" s="1">
        <v>0</v>
      </c>
      <c r="L20">
        <v>0</v>
      </c>
      <c r="M20" s="1">
        <v>0</v>
      </c>
      <c r="N20" s="1">
        <v>0</v>
      </c>
    </row>
    <row r="21" spans="1:16">
      <c r="A21" t="s">
        <v>121</v>
      </c>
      <c r="B21" s="2" t="s">
        <v>99</v>
      </c>
      <c r="C21" s="1" t="s">
        <v>100</v>
      </c>
      <c r="D21" s="1" t="s">
        <v>11</v>
      </c>
      <c r="E21" s="2">
        <v>60</v>
      </c>
      <c r="F21" s="1">
        <v>60</v>
      </c>
      <c r="G21" s="1">
        <v>60</v>
      </c>
      <c r="H21" s="1" t="s">
        <v>99</v>
      </c>
      <c r="I21" s="1">
        <v>1</v>
      </c>
      <c r="J21" s="1" t="s">
        <v>106</v>
      </c>
      <c r="K21" s="1">
        <v>0</v>
      </c>
      <c r="L21">
        <v>0</v>
      </c>
      <c r="M21" s="1">
        <v>0</v>
      </c>
      <c r="N21" s="1">
        <v>0</v>
      </c>
    </row>
    <row r="22" spans="1:16">
      <c r="B22" s="2"/>
      <c r="C22" s="1"/>
      <c r="D22" s="1"/>
      <c r="E22" s="2"/>
      <c r="F22" s="1"/>
      <c r="G22" s="1"/>
      <c r="H22" s="1"/>
      <c r="I22" s="1"/>
      <c r="J22" s="1"/>
      <c r="M22" s="1"/>
      <c r="N22" s="1"/>
    </row>
    <row r="23" spans="1:16">
      <c r="B23" s="2"/>
      <c r="C23" s="1"/>
      <c r="D23" s="1"/>
      <c r="E23" s="2"/>
      <c r="F23" s="1"/>
      <c r="G23" s="1"/>
      <c r="H23" s="1"/>
      <c r="I23" s="1"/>
      <c r="J23" s="1"/>
      <c r="M23" s="1"/>
      <c r="N23" s="1"/>
    </row>
    <row r="24" spans="1:16">
      <c r="B24" s="2"/>
      <c r="C24" s="1"/>
      <c r="D24" s="1"/>
      <c r="E24" s="2"/>
      <c r="F24" s="1"/>
      <c r="G24" s="1"/>
      <c r="H24" s="1"/>
      <c r="I24" s="1"/>
      <c r="J24" s="1"/>
      <c r="M24" s="1"/>
      <c r="N24" s="1"/>
      <c r="O24" s="1"/>
      <c r="P24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D81-73DE-E245-A461-52958ED7FF91}">
  <dimension ref="A1:Q71"/>
  <sheetViews>
    <sheetView tabSelected="1" zoomScale="110" zoomScaleNormal="110" workbookViewId="0">
      <selection activeCell="C4" sqref="C4"/>
    </sheetView>
  </sheetViews>
  <sheetFormatPr baseColWidth="10" defaultColWidth="11.5703125" defaultRowHeight="16"/>
  <cols>
    <col min="1" max="1" width="19.42578125" customWidth="1"/>
    <col min="2" max="2" width="11.85546875" customWidth="1"/>
    <col min="3" max="3" width="19.42578125" bestFit="1" customWidth="1"/>
    <col min="4" max="4" width="20.140625" bestFit="1" customWidth="1"/>
    <col min="5" max="5" width="22.42578125" bestFit="1" customWidth="1"/>
    <col min="6" max="6" width="27.7109375" bestFit="1" customWidth="1"/>
    <col min="7" max="7" width="11.5703125" bestFit="1" customWidth="1"/>
    <col min="8" max="8" width="8" customWidth="1"/>
    <col min="9" max="9" width="8.5703125" customWidth="1"/>
    <col min="10" max="10" width="10" customWidth="1"/>
    <col min="11" max="11" width="7.42578125" customWidth="1"/>
    <col min="12" max="12" width="6.42578125" customWidth="1"/>
  </cols>
  <sheetData>
    <row r="1" spans="1:17">
      <c r="A1" s="6" t="s">
        <v>0</v>
      </c>
      <c r="B1" t="s">
        <v>25</v>
      </c>
      <c r="C1" t="s">
        <v>26</v>
      </c>
      <c r="D1" t="s">
        <v>27</v>
      </c>
      <c r="E1" t="s">
        <v>134</v>
      </c>
      <c r="F1" s="4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 s="7" t="s">
        <v>40</v>
      </c>
      <c r="B2">
        <v>164.04730000000001</v>
      </c>
      <c r="C2" s="3">
        <f t="shared" ref="C2:C16" si="0">_xlfn.XLOOKUP(A2, A$23:A$37, E$23:E$37)</f>
        <v>6.0958028568589668E-4</v>
      </c>
      <c r="D2">
        <v>2.5</v>
      </c>
      <c r="E2" s="4">
        <f>D2 * B2</f>
        <v>410.11824999999999</v>
      </c>
      <c r="F2" s="4">
        <f t="shared" ref="F2:F10" si="1">(D2 * B$17) / (C2 / 1000) * (1/1000000) * 1000</f>
        <v>205059.125</v>
      </c>
      <c r="G2" s="5">
        <f t="shared" ref="G2:G15" si="2">F2 / 2.5</f>
        <v>82023.649999999994</v>
      </c>
      <c r="H2">
        <v>9</v>
      </c>
      <c r="I2">
        <v>8</v>
      </c>
      <c r="J2">
        <v>0</v>
      </c>
      <c r="K2">
        <v>3</v>
      </c>
      <c r="L2">
        <v>0</v>
      </c>
      <c r="M2">
        <v>0</v>
      </c>
      <c r="N2">
        <f t="shared" ref="N2:N15" si="3">IF(H2 &gt; 0, 4-((4*H2+I2-3*J2-2*K2+5*L2-2*M2)/H2), NA())</f>
        <v>-0.22222222222222232</v>
      </c>
      <c r="O2">
        <v>0</v>
      </c>
      <c r="P2">
        <v>0</v>
      </c>
      <c r="Q2">
        <v>0</v>
      </c>
    </row>
    <row r="3" spans="1:17">
      <c r="A3" s="7" t="s">
        <v>15</v>
      </c>
      <c r="B3">
        <v>166.19</v>
      </c>
      <c r="C3" s="3">
        <v>0.3</v>
      </c>
      <c r="D3">
        <v>2</v>
      </c>
      <c r="E3" s="4">
        <f t="shared" ref="E3:E16" si="4">D3 * B3</f>
        <v>332.38</v>
      </c>
      <c r="F3" s="4">
        <f t="shared" si="1"/>
        <v>333.33333333333337</v>
      </c>
      <c r="G3" s="5">
        <f t="shared" si="2"/>
        <v>133.33333333333334</v>
      </c>
      <c r="H3">
        <v>8</v>
      </c>
      <c r="I3">
        <v>15</v>
      </c>
      <c r="J3">
        <v>0</v>
      </c>
      <c r="K3">
        <v>2</v>
      </c>
      <c r="L3">
        <v>0</v>
      </c>
      <c r="M3">
        <v>0</v>
      </c>
      <c r="N3">
        <f t="shared" si="3"/>
        <v>-1.375</v>
      </c>
      <c r="O3">
        <v>1</v>
      </c>
      <c r="P3">
        <v>0</v>
      </c>
      <c r="Q3">
        <v>0</v>
      </c>
    </row>
    <row r="4" spans="1:17">
      <c r="A4" s="7" t="s">
        <v>17</v>
      </c>
      <c r="B4">
        <v>144.11000000000001</v>
      </c>
      <c r="C4" s="3">
        <f t="shared" si="0"/>
        <v>2.5</v>
      </c>
      <c r="D4">
        <v>2.5</v>
      </c>
      <c r="E4" s="4">
        <f t="shared" si="4"/>
        <v>360.27500000000003</v>
      </c>
      <c r="F4" s="4">
        <f t="shared" si="1"/>
        <v>49.999999999999993</v>
      </c>
      <c r="G4" s="5">
        <f t="shared" si="2"/>
        <v>19.999999999999996</v>
      </c>
      <c r="H4">
        <v>7</v>
      </c>
      <c r="I4">
        <v>5</v>
      </c>
      <c r="J4">
        <v>0</v>
      </c>
      <c r="K4">
        <v>2</v>
      </c>
      <c r="L4">
        <v>0</v>
      </c>
      <c r="M4">
        <v>0</v>
      </c>
      <c r="N4">
        <f t="shared" si="3"/>
        <v>-0.14285714285714324</v>
      </c>
      <c r="O4">
        <v>1</v>
      </c>
      <c r="P4">
        <v>0</v>
      </c>
      <c r="Q4">
        <v>0</v>
      </c>
    </row>
    <row r="5" spans="1:17">
      <c r="A5" s="7" t="s">
        <v>12</v>
      </c>
      <c r="B5">
        <v>180.14599999999999</v>
      </c>
      <c r="C5" s="3">
        <f t="shared" si="0"/>
        <v>2</v>
      </c>
      <c r="D5">
        <v>10</v>
      </c>
      <c r="E5" s="4">
        <f>D5 * B5</f>
        <v>1801.4599999999998</v>
      </c>
      <c r="F5" s="4">
        <f>(D5 * B$17) / (C5 / 1000) * (1/1000000) * 1000</f>
        <v>250</v>
      </c>
      <c r="G5" s="5">
        <f t="shared" si="2"/>
        <v>100</v>
      </c>
      <c r="H5">
        <v>6</v>
      </c>
      <c r="I5">
        <v>12</v>
      </c>
      <c r="J5">
        <v>0</v>
      </c>
      <c r="K5">
        <v>6</v>
      </c>
      <c r="L5">
        <v>0</v>
      </c>
      <c r="M5">
        <v>0</v>
      </c>
      <c r="N5">
        <f t="shared" si="3"/>
        <v>0</v>
      </c>
      <c r="O5">
        <v>0</v>
      </c>
      <c r="P5">
        <v>0</v>
      </c>
      <c r="Q5">
        <v>0</v>
      </c>
    </row>
    <row r="6" spans="1:17">
      <c r="A6" s="7" t="s">
        <v>14</v>
      </c>
      <c r="B6">
        <v>258.06</v>
      </c>
      <c r="C6" s="3">
        <f t="shared" si="0"/>
        <v>0.5</v>
      </c>
      <c r="D6">
        <v>10</v>
      </c>
      <c r="E6" s="4">
        <f t="shared" si="4"/>
        <v>2580.6</v>
      </c>
      <c r="F6" s="4">
        <f t="shared" si="1"/>
        <v>1000</v>
      </c>
      <c r="G6" s="5">
        <f t="shared" si="2"/>
        <v>400</v>
      </c>
      <c r="H6">
        <v>6</v>
      </c>
      <c r="I6">
        <v>5</v>
      </c>
      <c r="J6">
        <v>0</v>
      </c>
      <c r="K6">
        <v>7</v>
      </c>
      <c r="L6">
        <v>0</v>
      </c>
      <c r="M6">
        <v>0</v>
      </c>
      <c r="N6">
        <f t="shared" si="3"/>
        <v>1.5</v>
      </c>
      <c r="O6">
        <v>3</v>
      </c>
      <c r="P6">
        <v>0</v>
      </c>
      <c r="Q6">
        <v>0</v>
      </c>
    </row>
    <row r="7" spans="1:17">
      <c r="A7" s="7" t="s">
        <v>16</v>
      </c>
      <c r="B7">
        <v>82.034300000000002</v>
      </c>
      <c r="C7" s="3">
        <f t="shared" ref="C7" si="5">_xlfn.XLOOKUP(A7, A$23:A$37, E$23:E$37)</f>
        <v>2.5</v>
      </c>
      <c r="D7">
        <v>30</v>
      </c>
      <c r="E7" s="4">
        <f t="shared" ref="E7" si="6">D7 * B7</f>
        <v>2461.029</v>
      </c>
      <c r="F7" s="4">
        <f t="shared" ref="F7" si="7">(D7 * B$17) / (C7 / 1000) * (1/1000000) * 1000</f>
        <v>600</v>
      </c>
      <c r="G7" s="5">
        <f t="shared" ref="G7" si="8">F7 / 2.5</f>
        <v>240</v>
      </c>
      <c r="H7">
        <v>2</v>
      </c>
      <c r="I7">
        <v>3</v>
      </c>
      <c r="J7">
        <v>0</v>
      </c>
      <c r="K7">
        <v>2</v>
      </c>
      <c r="L7">
        <v>0</v>
      </c>
      <c r="M7">
        <v>0</v>
      </c>
      <c r="N7">
        <f t="shared" ref="N7" si="9">IF(H7 &gt; 0, 4-((4*H7+I7-3*J7-2*K7+5*L7-2*M7)/H7), NA())</f>
        <v>0.5</v>
      </c>
      <c r="O7">
        <v>1</v>
      </c>
      <c r="P7">
        <v>0</v>
      </c>
      <c r="Q7">
        <v>0</v>
      </c>
    </row>
    <row r="8" spans="1:17">
      <c r="A8" s="7" t="s">
        <v>90</v>
      </c>
      <c r="B8">
        <v>82.034300000000002</v>
      </c>
      <c r="C8" s="3">
        <f t="shared" si="0"/>
        <v>5</v>
      </c>
      <c r="D8">
        <v>20</v>
      </c>
      <c r="E8" s="4">
        <f t="shared" si="4"/>
        <v>1640.6860000000001</v>
      </c>
      <c r="F8" s="4">
        <f t="shared" si="1"/>
        <v>199.99999999999997</v>
      </c>
      <c r="G8" s="5">
        <f t="shared" si="2"/>
        <v>79.999999999999986</v>
      </c>
      <c r="H8">
        <v>2</v>
      </c>
      <c r="I8">
        <v>3</v>
      </c>
      <c r="J8">
        <v>0</v>
      </c>
      <c r="K8">
        <v>2</v>
      </c>
      <c r="L8">
        <v>0</v>
      </c>
      <c r="M8">
        <v>0</v>
      </c>
      <c r="N8">
        <f t="shared" si="3"/>
        <v>0.5</v>
      </c>
      <c r="O8">
        <v>1</v>
      </c>
      <c r="P8">
        <v>0</v>
      </c>
      <c r="Q8">
        <v>0</v>
      </c>
    </row>
    <row r="9" spans="1:17">
      <c r="A9" s="7" t="s">
        <v>23</v>
      </c>
      <c r="B9">
        <v>60.06</v>
      </c>
      <c r="C9" s="3">
        <f t="shared" si="0"/>
        <v>5</v>
      </c>
      <c r="D9">
        <v>5</v>
      </c>
      <c r="E9" s="4">
        <f t="shared" si="4"/>
        <v>300.3</v>
      </c>
      <c r="F9" s="4">
        <f t="shared" si="1"/>
        <v>49.999999999999993</v>
      </c>
      <c r="G9" s="5">
        <f t="shared" si="2"/>
        <v>19.999999999999996</v>
      </c>
      <c r="H9">
        <v>1</v>
      </c>
      <c r="I9">
        <v>4</v>
      </c>
      <c r="J9">
        <v>2</v>
      </c>
      <c r="K9">
        <v>1</v>
      </c>
      <c r="L9">
        <v>0</v>
      </c>
      <c r="M9">
        <v>0</v>
      </c>
      <c r="N9">
        <f t="shared" si="3"/>
        <v>4</v>
      </c>
      <c r="O9">
        <v>0</v>
      </c>
      <c r="P9">
        <v>0</v>
      </c>
      <c r="Q9">
        <v>0</v>
      </c>
    </row>
    <row r="10" spans="1:17">
      <c r="A10" s="7" t="s">
        <v>9</v>
      </c>
      <c r="B10" t="e">
        <v>#N/A</v>
      </c>
      <c r="C10" s="3">
        <f t="shared" si="0"/>
        <v>100</v>
      </c>
      <c r="D10">
        <v>1000</v>
      </c>
      <c r="E10" s="4" t="e">
        <f t="shared" si="4"/>
        <v>#N/A</v>
      </c>
      <c r="F10" s="4">
        <f t="shared" si="1"/>
        <v>500</v>
      </c>
      <c r="G10" s="5">
        <f t="shared" si="2"/>
        <v>200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e">
        <f t="shared" si="3"/>
        <v>#N/A</v>
      </c>
      <c r="O10">
        <v>0</v>
      </c>
      <c r="P10">
        <v>0</v>
      </c>
      <c r="Q10">
        <v>0</v>
      </c>
    </row>
    <row r="11" spans="1:17">
      <c r="A11" s="2" t="s">
        <v>126</v>
      </c>
      <c r="B11">
        <v>172.07</v>
      </c>
      <c r="C11" s="3">
        <f>_xlfn.XLOOKUP(A11, A$23:A$37, E$23:E$37)</f>
        <v>0.5</v>
      </c>
      <c r="D11">
        <v>10</v>
      </c>
      <c r="E11" s="4">
        <f t="shared" ref="E11" si="10">D11 * B11</f>
        <v>1720.6999999999998</v>
      </c>
      <c r="F11" s="4">
        <f t="shared" ref="F11" si="11">(D11 * B$17) / (C11 / 1000) * (1/1000000) * 1000</f>
        <v>1000</v>
      </c>
      <c r="G11" s="5">
        <f t="shared" ref="G11" si="12">F11 / 2.5</f>
        <v>400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e">
        <f t="shared" ref="N11" si="13">IF(H11 &gt; 0, 4-((4*H11+I11-3*J11-2*K11+5*L11-2*M11)/H11), NA())</f>
        <v>#N/A</v>
      </c>
      <c r="O11">
        <v>0</v>
      </c>
      <c r="P11">
        <v>0</v>
      </c>
      <c r="Q11">
        <v>0</v>
      </c>
    </row>
    <row r="12" spans="1:17">
      <c r="A12" s="7" t="s">
        <v>20</v>
      </c>
      <c r="B12">
        <v>58.44</v>
      </c>
      <c r="C12" s="3">
        <f t="shared" si="0"/>
        <v>4</v>
      </c>
      <c r="D12">
        <v>125</v>
      </c>
      <c r="E12" s="4">
        <f t="shared" si="4"/>
        <v>7305</v>
      </c>
      <c r="F12" s="4">
        <f>(D12 * B$17) / (C12 / 1000) * (1/1000000) * 1000</f>
        <v>1562.5</v>
      </c>
      <c r="G12" s="5">
        <f t="shared" si="2"/>
        <v>625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e">
        <f t="shared" si="3"/>
        <v>#N/A</v>
      </c>
      <c r="O12">
        <v>1</v>
      </c>
      <c r="P12">
        <v>0</v>
      </c>
      <c r="Q12">
        <v>1</v>
      </c>
    </row>
    <row r="13" spans="1:17">
      <c r="A13" s="7" t="s">
        <v>21</v>
      </c>
      <c r="B13">
        <v>74.551299999999998</v>
      </c>
      <c r="C13" s="3">
        <f t="shared" si="0"/>
        <v>3.5</v>
      </c>
      <c r="D13">
        <v>125</v>
      </c>
      <c r="E13" s="4">
        <f t="shared" si="4"/>
        <v>9318.9125000000004</v>
      </c>
      <c r="F13" s="4">
        <f>(D13 * B$17) / (C13 / 1000) * (1/1000000) * 1000</f>
        <v>1785.7142857142856</v>
      </c>
      <c r="G13" s="5">
        <f t="shared" si="2"/>
        <v>714.28571428571422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e">
        <f t="shared" si="3"/>
        <v>#N/A</v>
      </c>
      <c r="O13">
        <v>0</v>
      </c>
      <c r="P13">
        <v>1</v>
      </c>
      <c r="Q13">
        <v>1</v>
      </c>
    </row>
    <row r="14" spans="1:17">
      <c r="A14" s="7" t="s">
        <v>78</v>
      </c>
      <c r="B14" t="e">
        <v>#N/A</v>
      </c>
      <c r="C14" s="3">
        <f>_xlfn.XLOOKUP(A14, A$23:A$37, E$23:E$37)</f>
        <v>1000</v>
      </c>
      <c r="D14">
        <v>100</v>
      </c>
      <c r="E14" s="4" t="e">
        <f t="shared" si="4"/>
        <v>#N/A</v>
      </c>
      <c r="F14" s="4">
        <f>1000 * (D14 *B17) / C14</f>
        <v>5000</v>
      </c>
      <c r="G14" s="5">
        <f t="shared" si="2"/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e">
        <f t="shared" si="3"/>
        <v>#N/A</v>
      </c>
      <c r="O14">
        <v>0</v>
      </c>
      <c r="P14">
        <v>0</v>
      </c>
      <c r="Q14">
        <v>0</v>
      </c>
    </row>
    <row r="15" spans="1:17">
      <c r="A15" s="7" t="s">
        <v>24</v>
      </c>
      <c r="B15">
        <v>53.491</v>
      </c>
      <c r="C15" s="3">
        <f t="shared" si="0"/>
        <v>5</v>
      </c>
      <c r="D15">
        <v>10</v>
      </c>
      <c r="E15" s="4">
        <f t="shared" si="4"/>
        <v>534.91</v>
      </c>
      <c r="F15" s="4">
        <f>(D15 * B$17) / (C15 / 1000) * (1/1000000) * 1000</f>
        <v>99.999999999999986</v>
      </c>
      <c r="G15" s="5">
        <f t="shared" si="2"/>
        <v>39.999999999999993</v>
      </c>
      <c r="H15">
        <v>0</v>
      </c>
      <c r="I15">
        <v>4</v>
      </c>
      <c r="J15">
        <v>1</v>
      </c>
      <c r="K15">
        <v>0</v>
      </c>
      <c r="L15">
        <v>0</v>
      </c>
      <c r="M15">
        <v>0</v>
      </c>
      <c r="N15" t="e">
        <f t="shared" si="3"/>
        <v>#N/A</v>
      </c>
      <c r="O15">
        <v>0</v>
      </c>
      <c r="P15">
        <v>0</v>
      </c>
      <c r="Q15">
        <v>1</v>
      </c>
    </row>
    <row r="16" spans="1:17">
      <c r="A16" s="7" t="s">
        <v>127</v>
      </c>
      <c r="B16">
        <v>251.17</v>
      </c>
      <c r="C16" s="3">
        <f t="shared" si="0"/>
        <v>0.02</v>
      </c>
      <c r="D16">
        <f>(C16 / 5) * 1000</f>
        <v>4</v>
      </c>
      <c r="E16" s="4">
        <f t="shared" si="4"/>
        <v>1004.68</v>
      </c>
      <c r="F16" s="4">
        <f>(D16 * B$17) / (C16 / 1000) * (1/1000000) * 1000</f>
        <v>10000</v>
      </c>
      <c r="G16" s="5">
        <f t="shared" ref="G16" si="14">F16 / 2.5</f>
        <v>4000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9">
      <c r="A17" s="7" t="s">
        <v>41</v>
      </c>
      <c r="B17">
        <v>50</v>
      </c>
    </row>
    <row r="18" spans="1:9">
      <c r="A18" s="7" t="s">
        <v>42</v>
      </c>
      <c r="B18">
        <v>60</v>
      </c>
    </row>
    <row r="19" spans="1:9">
      <c r="G19">
        <v>150</v>
      </c>
      <c r="H19">
        <f>G19 * (1 / B5)</f>
        <v>0.83265795521410424</v>
      </c>
      <c r="I19">
        <f>H19 * 1000</f>
        <v>832.65795521410428</v>
      </c>
    </row>
    <row r="20" spans="1:9">
      <c r="A20" s="7" t="s">
        <v>43</v>
      </c>
      <c r="G20" t="s">
        <v>136</v>
      </c>
      <c r="H20" t="s">
        <v>137</v>
      </c>
      <c r="I20" t="s">
        <v>138</v>
      </c>
    </row>
    <row r="22" spans="1:9" ht="34">
      <c r="A22" s="15" t="s">
        <v>0</v>
      </c>
      <c r="B22" s="13" t="s">
        <v>44</v>
      </c>
      <c r="C22" s="13" t="s">
        <v>45</v>
      </c>
      <c r="D22" s="13" t="s">
        <v>46</v>
      </c>
      <c r="E22" s="13" t="s">
        <v>47</v>
      </c>
    </row>
    <row r="23" spans="1:9">
      <c r="A23" s="2" t="s">
        <v>15</v>
      </c>
      <c r="B23">
        <v>166.19</v>
      </c>
      <c r="C23">
        <v>5</v>
      </c>
      <c r="D23" s="3">
        <f t="shared" ref="D23:D36" si="15">C23/B23 * 10</f>
        <v>0.30086046091822616</v>
      </c>
      <c r="E23" s="18">
        <v>0.5</v>
      </c>
      <c r="F23" t="s">
        <v>48</v>
      </c>
      <c r="G23" t="s">
        <v>49</v>
      </c>
    </row>
    <row r="24" spans="1:9">
      <c r="A24" s="2" t="s">
        <v>17</v>
      </c>
      <c r="B24">
        <v>144.11000000000001</v>
      </c>
      <c r="C24">
        <v>66</v>
      </c>
      <c r="D24" s="3">
        <f t="shared" si="15"/>
        <v>4.5798348483797096</v>
      </c>
      <c r="E24" s="18">
        <v>2.5</v>
      </c>
      <c r="F24" t="s">
        <v>48</v>
      </c>
    </row>
    <row r="25" spans="1:9">
      <c r="A25" s="2" t="s">
        <v>12</v>
      </c>
      <c r="B25">
        <v>180.14599999999999</v>
      </c>
      <c r="C25">
        <v>90</v>
      </c>
      <c r="D25" s="3">
        <f t="shared" si="15"/>
        <v>4.995947731284625</v>
      </c>
      <c r="E25" s="18">
        <v>2</v>
      </c>
      <c r="F25" t="s">
        <v>48</v>
      </c>
    </row>
    <row r="26" spans="1:9">
      <c r="A26" s="2" t="s">
        <v>16</v>
      </c>
      <c r="B26">
        <v>82.034300000000002</v>
      </c>
      <c r="C26">
        <v>46.4</v>
      </c>
      <c r="D26" s="3">
        <f t="shared" si="15"/>
        <v>5.6561706505693348</v>
      </c>
      <c r="E26" s="18">
        <v>2.5</v>
      </c>
      <c r="F26" t="s">
        <v>48</v>
      </c>
    </row>
    <row r="27" spans="1:9">
      <c r="A27" s="2" t="s">
        <v>14</v>
      </c>
      <c r="B27">
        <v>258.06</v>
      </c>
      <c r="C27">
        <v>42.5</v>
      </c>
      <c r="D27" s="3">
        <f t="shared" si="15"/>
        <v>1.6469038208168643</v>
      </c>
      <c r="E27" s="18">
        <v>0.5</v>
      </c>
      <c r="F27" t="s">
        <v>48</v>
      </c>
      <c r="G27" t="s">
        <v>139</v>
      </c>
    </row>
    <row r="28" spans="1:9">
      <c r="A28" s="2" t="s">
        <v>23</v>
      </c>
      <c r="B28">
        <v>60.06</v>
      </c>
      <c r="C28">
        <v>108</v>
      </c>
      <c r="D28" s="3">
        <f t="shared" si="15"/>
        <v>17.982017982017982</v>
      </c>
      <c r="E28" s="20">
        <v>5</v>
      </c>
      <c r="F28" t="s">
        <v>50</v>
      </c>
    </row>
    <row r="29" spans="1:9">
      <c r="A29" s="2" t="s">
        <v>24</v>
      </c>
      <c r="B29">
        <v>53.491</v>
      </c>
      <c r="C29">
        <v>37.200000000000003</v>
      </c>
      <c r="D29" s="3">
        <f>C29/B29 * 10</f>
        <v>6.954440933988896</v>
      </c>
      <c r="E29" s="20">
        <v>5</v>
      </c>
      <c r="F29" t="s">
        <v>51</v>
      </c>
    </row>
    <row r="30" spans="1:9">
      <c r="A30" s="2" t="s">
        <v>9</v>
      </c>
      <c r="B30" t="e">
        <v>#N/A</v>
      </c>
      <c r="D30" s="3" t="e">
        <f t="shared" si="15"/>
        <v>#N/A</v>
      </c>
      <c r="E30" s="3">
        <v>100</v>
      </c>
      <c r="F30" t="s">
        <v>77</v>
      </c>
    </row>
    <row r="31" spans="1:9">
      <c r="A31" s="2" t="s">
        <v>20</v>
      </c>
      <c r="B31">
        <v>58.44</v>
      </c>
      <c r="C31">
        <v>35.89</v>
      </c>
      <c r="D31" s="3">
        <f t="shared" si="15"/>
        <v>6.1413415468856947</v>
      </c>
      <c r="E31" s="24">
        <v>4</v>
      </c>
      <c r="F31" t="s">
        <v>77</v>
      </c>
    </row>
    <row r="32" spans="1:9">
      <c r="A32" s="2" t="s">
        <v>21</v>
      </c>
      <c r="B32">
        <v>74.551299999999998</v>
      </c>
      <c r="C32">
        <v>34.200000000000003</v>
      </c>
      <c r="D32" s="3">
        <f t="shared" si="15"/>
        <v>4.5874451552152689</v>
      </c>
      <c r="E32" s="24">
        <v>3.5</v>
      </c>
      <c r="F32" t="s">
        <v>77</v>
      </c>
    </row>
    <row r="33" spans="1:15">
      <c r="A33" t="s">
        <v>78</v>
      </c>
      <c r="B33" t="e">
        <v>#N/A</v>
      </c>
      <c r="D33" t="e">
        <f t="shared" si="15"/>
        <v>#N/A</v>
      </c>
      <c r="E33" s="24">
        <v>1000</v>
      </c>
      <c r="F33" t="s">
        <v>77</v>
      </c>
      <c r="G33" t="s">
        <v>79</v>
      </c>
    </row>
    <row r="34" spans="1:15">
      <c r="A34" s="2" t="s">
        <v>90</v>
      </c>
      <c r="B34">
        <v>68.010000000000005</v>
      </c>
      <c r="C34">
        <v>97.2</v>
      </c>
      <c r="D34" s="3">
        <f>C34/B34 * 10</f>
        <v>14.292015880017644</v>
      </c>
      <c r="E34" s="26">
        <v>5</v>
      </c>
      <c r="F34" t="s">
        <v>125</v>
      </c>
      <c r="G34" t="str">
        <f>C34 * (E34/D34)  * 0.5 &amp; "g per 50 mL"</f>
        <v>17.0025g per 50 mL</v>
      </c>
    </row>
    <row r="35" spans="1:15">
      <c r="A35" s="2" t="s">
        <v>126</v>
      </c>
      <c r="B35">
        <v>172.07</v>
      </c>
      <c r="C35">
        <v>10</v>
      </c>
      <c r="D35" s="3">
        <f t="shared" si="15"/>
        <v>0.58115883070843266</v>
      </c>
      <c r="E35" s="26">
        <v>0.5</v>
      </c>
      <c r="F35" t="s">
        <v>125</v>
      </c>
      <c r="G35" t="str">
        <f>C35/100 * (1/2) * 1000 &amp; " mg per 500 uL"</f>
        <v>50 mg per 500 uL</v>
      </c>
    </row>
    <row r="36" spans="1:15">
      <c r="A36" s="2" t="s">
        <v>127</v>
      </c>
      <c r="B36">
        <v>251.17</v>
      </c>
      <c r="C36">
        <v>0.5</v>
      </c>
      <c r="D36" s="3">
        <f t="shared" si="15"/>
        <v>1.9906836007484968E-2</v>
      </c>
      <c r="E36" s="3">
        <v>0.02</v>
      </c>
      <c r="F36" t="s">
        <v>128</v>
      </c>
      <c r="G36" t="s">
        <v>129</v>
      </c>
      <c r="K36">
        <v>5</v>
      </c>
      <c r="L36">
        <f>K36 * (1000 / 1)</f>
        <v>5000</v>
      </c>
      <c r="M36">
        <f>L36 * (1/1000)</f>
        <v>5</v>
      </c>
      <c r="N36">
        <f>M36 * 10</f>
        <v>50</v>
      </c>
      <c r="O36">
        <f>K36 * (100/1000)</f>
        <v>0.5</v>
      </c>
    </row>
    <row r="37" spans="1:15">
      <c r="A37" s="16" t="s">
        <v>40</v>
      </c>
      <c r="B37" s="14">
        <v>164.04730000000001</v>
      </c>
      <c r="C37" s="14">
        <v>0.01</v>
      </c>
      <c r="D37" s="17">
        <f>C37/B37 * 10</f>
        <v>6.0958028568589668E-4</v>
      </c>
      <c r="E37" s="17">
        <v>6.0958028568589668E-4</v>
      </c>
      <c r="K37" t="s">
        <v>130</v>
      </c>
      <c r="L37" t="s">
        <v>131</v>
      </c>
      <c r="M37" t="s">
        <v>132</v>
      </c>
      <c r="N37" t="s">
        <v>133</v>
      </c>
      <c r="O37" t="s">
        <v>135</v>
      </c>
    </row>
    <row r="38" spans="1:15">
      <c r="A38" s="21" t="s">
        <v>22</v>
      </c>
      <c r="B38" s="22" t="e">
        <v>#N/A</v>
      </c>
      <c r="C38" s="22"/>
      <c r="D38" s="22"/>
      <c r="E38" s="23"/>
    </row>
    <row r="40" spans="1:15" ht="68">
      <c r="A40" s="10" t="s">
        <v>0</v>
      </c>
      <c r="B40" s="8" t="s">
        <v>44</v>
      </c>
      <c r="C40" s="8" t="s">
        <v>52</v>
      </c>
      <c r="D40" t="s">
        <v>36</v>
      </c>
      <c r="E40" t="s">
        <v>53</v>
      </c>
      <c r="F40" s="8" t="s">
        <v>54</v>
      </c>
      <c r="G40" s="8" t="s">
        <v>55</v>
      </c>
      <c r="H40" s="8" t="s">
        <v>56</v>
      </c>
      <c r="I40" s="8" t="s">
        <v>26</v>
      </c>
      <c r="J40" s="11" t="s">
        <v>28</v>
      </c>
      <c r="K40" s="8" t="s">
        <v>29</v>
      </c>
      <c r="L40" s="8" t="s">
        <v>57</v>
      </c>
    </row>
    <row r="41" spans="1:15">
      <c r="A41" s="7" t="s">
        <v>12</v>
      </c>
      <c r="B41" s="3">
        <f>_xlfn.XLOOKUP($A41, A$23:A$33, B$23:B$33)</f>
        <v>180.14599999999999</v>
      </c>
      <c r="C41" s="3">
        <f>_xlfn.XLOOKUP($A41,A$1:A$15, H$1:H$15)</f>
        <v>6</v>
      </c>
      <c r="D41" s="3">
        <f>_xlfn.XLOOKUP($A41, A$1:A$15, N$1:N$15)</f>
        <v>0</v>
      </c>
      <c r="E41" s="3">
        <f>60.3 - (28.5 * D41)</f>
        <v>60.3</v>
      </c>
      <c r="F41">
        <v>180</v>
      </c>
      <c r="G41" s="12">
        <f>F41/B41</f>
        <v>0.99918954625692502</v>
      </c>
      <c r="H41" s="3">
        <f>G41 * E41</f>
        <v>60.251129639292579</v>
      </c>
      <c r="I41" s="3">
        <f>_xlfn.XLOOKUP(A41, A$23:A$33, D$23:D$33)</f>
        <v>4.995947731284625</v>
      </c>
      <c r="J41" s="5">
        <f>(G41 * B$17) / (I41 / 1000) * (1/1000000) * 1000</f>
        <v>10.000000000000002</v>
      </c>
      <c r="K41" s="5">
        <f>J41 / 2.5</f>
        <v>4.0000000000000009</v>
      </c>
      <c r="L41">
        <f>I41 / (G41 / 1000)</f>
        <v>5000</v>
      </c>
    </row>
    <row r="42" spans="1:15">
      <c r="B42" s="3"/>
      <c r="C42" s="3" t="e">
        <f t="shared" ref="C42:C48" si="16">_xlfn.XLOOKUP($A42,A$1:A$15, H$1:H$15)</f>
        <v>#N/A</v>
      </c>
      <c r="D42" s="3"/>
      <c r="E42" s="3"/>
      <c r="G42" s="12"/>
      <c r="H42" s="3"/>
      <c r="I42" s="3"/>
      <c r="J42" s="5"/>
      <c r="K42" s="5"/>
    </row>
    <row r="43" spans="1:15">
      <c r="A43" s="7" t="s">
        <v>40</v>
      </c>
      <c r="B43" s="3" t="e">
        <f t="shared" ref="B43:B48" si="17">_xlfn.XLOOKUP($A43, A$23:A$33, B$23:B$33)</f>
        <v>#N/A</v>
      </c>
      <c r="C43" s="3">
        <f t="shared" si="16"/>
        <v>9</v>
      </c>
      <c r="D43" s="3">
        <f t="shared" ref="D43:D48" si="18">_xlfn.XLOOKUP($A43, A$1:A$15, N$1:N$15)</f>
        <v>-0.22222222222222232</v>
      </c>
      <c r="E43" s="3">
        <f t="shared" ref="E43:E48" si="19">60.3 - (28.5 * D43)</f>
        <v>66.633333333333326</v>
      </c>
      <c r="F43">
        <v>150</v>
      </c>
      <c r="G43" s="12" t="e">
        <f t="shared" ref="G43:G48" si="20">F43/B43</f>
        <v>#N/A</v>
      </c>
      <c r="H43" s="3" t="e">
        <f t="shared" ref="H43:H48" si="21">G43 * E43</f>
        <v>#N/A</v>
      </c>
      <c r="I43" s="3" t="e">
        <f t="shared" ref="I43:I48" si="22">_xlfn.XLOOKUP(A43, A$23:A$33, D$23:D$33)</f>
        <v>#N/A</v>
      </c>
      <c r="J43" s="5" t="e">
        <f t="shared" ref="J43:J48" si="23">(G43 * B$17) / (I43 / 1000) * (1/1000000) * 1000</f>
        <v>#N/A</v>
      </c>
      <c r="K43" s="5" t="e">
        <f t="shared" ref="K43:K48" si="24">J43 / 2.5</f>
        <v>#N/A</v>
      </c>
      <c r="L43" t="e">
        <f t="shared" ref="L43:L48" si="25">I43 / (G43 / 1000)</f>
        <v>#N/A</v>
      </c>
    </row>
    <row r="44" spans="1:15">
      <c r="A44" s="7" t="s">
        <v>15</v>
      </c>
      <c r="B44" s="3">
        <f t="shared" si="17"/>
        <v>166.19</v>
      </c>
      <c r="C44" s="3">
        <f t="shared" si="16"/>
        <v>8</v>
      </c>
      <c r="D44" s="3">
        <f t="shared" si="18"/>
        <v>-1.375</v>
      </c>
      <c r="E44" s="3">
        <f t="shared" si="19"/>
        <v>99.487499999999997</v>
      </c>
      <c r="F44">
        <v>100</v>
      </c>
      <c r="G44" s="12">
        <f t="shared" si="20"/>
        <v>0.60172092183645232</v>
      </c>
      <c r="H44" s="3">
        <f t="shared" si="21"/>
        <v>59.863710211204051</v>
      </c>
      <c r="I44" s="3">
        <f t="shared" si="22"/>
        <v>0.30086046091822616</v>
      </c>
      <c r="J44" s="5">
        <f t="shared" si="23"/>
        <v>99.999999999999986</v>
      </c>
      <c r="K44" s="5">
        <f t="shared" si="24"/>
        <v>39.999999999999993</v>
      </c>
      <c r="L44">
        <f t="shared" si="25"/>
        <v>499.99999999999994</v>
      </c>
    </row>
    <row r="45" spans="1:15">
      <c r="A45" s="7" t="s">
        <v>17</v>
      </c>
      <c r="B45" s="3">
        <f t="shared" si="17"/>
        <v>144.11000000000001</v>
      </c>
      <c r="C45" s="3">
        <f t="shared" si="16"/>
        <v>7</v>
      </c>
      <c r="D45" s="3">
        <f t="shared" si="18"/>
        <v>-0.14285714285714324</v>
      </c>
      <c r="E45" s="3">
        <f t="shared" si="19"/>
        <v>64.371428571428581</v>
      </c>
      <c r="F45">
        <v>135</v>
      </c>
      <c r="G45" s="12">
        <f t="shared" si="20"/>
        <v>0.93678440080494063</v>
      </c>
      <c r="H45" s="3">
        <f t="shared" si="21"/>
        <v>60.302150143243757</v>
      </c>
      <c r="I45" s="3">
        <f t="shared" si="22"/>
        <v>4.5798348483797096</v>
      </c>
      <c r="J45" s="5">
        <f t="shared" si="23"/>
        <v>10.227272727272725</v>
      </c>
      <c r="K45" s="5">
        <f t="shared" si="24"/>
        <v>4.0909090909090899</v>
      </c>
      <c r="L45">
        <f t="shared" si="25"/>
        <v>4888.8888888888887</v>
      </c>
    </row>
    <row r="46" spans="1:15">
      <c r="A46" s="7" t="s">
        <v>14</v>
      </c>
      <c r="B46" s="3">
        <f t="shared" si="17"/>
        <v>258.06</v>
      </c>
      <c r="C46" s="3">
        <f t="shared" si="16"/>
        <v>6</v>
      </c>
      <c r="D46" s="3">
        <f t="shared" si="18"/>
        <v>1.5</v>
      </c>
      <c r="E46" s="3">
        <f t="shared" si="19"/>
        <v>17.549999999999997</v>
      </c>
      <c r="F46">
        <v>890</v>
      </c>
      <c r="G46" s="12">
        <f t="shared" si="20"/>
        <v>3.4488103541811981</v>
      </c>
      <c r="H46" s="3">
        <f t="shared" si="21"/>
        <v>60.526621715880019</v>
      </c>
      <c r="I46" s="3">
        <f t="shared" si="22"/>
        <v>1.6469038208168643</v>
      </c>
      <c r="J46" s="5">
        <f t="shared" si="23"/>
        <v>104.70588235294119</v>
      </c>
      <c r="K46" s="5">
        <f t="shared" si="24"/>
        <v>41.882352941176478</v>
      </c>
      <c r="L46">
        <f t="shared" si="25"/>
        <v>477.52808988764048</v>
      </c>
    </row>
    <row r="47" spans="1:15">
      <c r="A47" s="7" t="s">
        <v>16</v>
      </c>
      <c r="B47" s="3">
        <f t="shared" si="17"/>
        <v>82.034300000000002</v>
      </c>
      <c r="C47" s="3">
        <f t="shared" si="16"/>
        <v>2</v>
      </c>
      <c r="D47" s="3">
        <f t="shared" si="18"/>
        <v>0.5</v>
      </c>
      <c r="E47" s="3">
        <f t="shared" si="19"/>
        <v>46.05</v>
      </c>
      <c r="F47">
        <v>110</v>
      </c>
      <c r="G47" s="12">
        <f t="shared" si="20"/>
        <v>1.3409025249194544</v>
      </c>
      <c r="H47" s="3">
        <f t="shared" si="21"/>
        <v>61.748561272540869</v>
      </c>
      <c r="I47" s="3">
        <f t="shared" si="22"/>
        <v>5.6561706505693348</v>
      </c>
      <c r="J47" s="5">
        <f t="shared" si="23"/>
        <v>11.853448275862069</v>
      </c>
      <c r="K47" s="5">
        <f t="shared" si="24"/>
        <v>4.7413793103448274</v>
      </c>
      <c r="L47">
        <f t="shared" si="25"/>
        <v>4218.181818181818</v>
      </c>
    </row>
    <row r="48" spans="1:15">
      <c r="A48" s="7" t="s">
        <v>23</v>
      </c>
      <c r="B48" s="3">
        <f t="shared" si="17"/>
        <v>60.06</v>
      </c>
      <c r="C48" s="3">
        <f t="shared" si="16"/>
        <v>1</v>
      </c>
      <c r="D48" s="3">
        <f t="shared" si="18"/>
        <v>4</v>
      </c>
      <c r="E48" s="3">
        <f t="shared" si="19"/>
        <v>-53.7</v>
      </c>
      <c r="F48">
        <v>100</v>
      </c>
      <c r="G48" s="12">
        <f t="shared" si="20"/>
        <v>1.665001665001665</v>
      </c>
      <c r="H48" s="3">
        <f t="shared" si="21"/>
        <v>-89.410589410589409</v>
      </c>
      <c r="I48" s="3">
        <f t="shared" si="22"/>
        <v>17.982017982017982</v>
      </c>
      <c r="J48" s="5">
        <f t="shared" si="23"/>
        <v>4.6296296296296298</v>
      </c>
      <c r="K48" s="5">
        <f t="shared" si="24"/>
        <v>1.8518518518518519</v>
      </c>
      <c r="L48">
        <f t="shared" si="25"/>
        <v>10800</v>
      </c>
    </row>
    <row r="49" spans="1:8">
      <c r="A49" s="7"/>
      <c r="C49" s="3"/>
      <c r="H49" t="s">
        <v>58</v>
      </c>
    </row>
    <row r="50" spans="1:8">
      <c r="A50" s="7" t="s">
        <v>59</v>
      </c>
    </row>
    <row r="52" spans="1:8">
      <c r="A52" s="19" t="s">
        <v>60</v>
      </c>
    </row>
    <row r="53" spans="1:8">
      <c r="A53" s="9" t="s">
        <v>61</v>
      </c>
    </row>
    <row r="54" spans="1:8">
      <c r="A54" s="7" t="s">
        <v>62</v>
      </c>
    </row>
    <row r="55" spans="1:8">
      <c r="A55" s="7" t="s">
        <v>63</v>
      </c>
    </row>
    <row r="56" spans="1:8">
      <c r="A56" s="7" t="s">
        <v>64</v>
      </c>
    </row>
    <row r="57" spans="1:8">
      <c r="A57" s="7" t="s">
        <v>65</v>
      </c>
    </row>
    <row r="58" spans="1:8">
      <c r="A58" s="7" t="s">
        <v>66</v>
      </c>
    </row>
    <row r="59" spans="1:8">
      <c r="A59" s="7" t="s">
        <v>67</v>
      </c>
    </row>
    <row r="60" spans="1:8">
      <c r="A60" s="7" t="s">
        <v>68</v>
      </c>
    </row>
    <row r="61" spans="1:8">
      <c r="A61" s="7" t="s">
        <v>69</v>
      </c>
    </row>
    <row r="62" spans="1:8">
      <c r="A62" t="s">
        <v>70</v>
      </c>
    </row>
    <row r="63" spans="1:8">
      <c r="A63" t="s">
        <v>71</v>
      </c>
    </row>
    <row r="64" spans="1:8">
      <c r="A64" t="s">
        <v>72</v>
      </c>
    </row>
    <row r="65" spans="1:1">
      <c r="A65" t="s">
        <v>73</v>
      </c>
    </row>
    <row r="66" spans="1:1">
      <c r="A66" t="s">
        <v>74</v>
      </c>
    </row>
    <row r="67" spans="1:1">
      <c r="A67" t="s">
        <v>75</v>
      </c>
    </row>
    <row r="68" spans="1:1">
      <c r="A68" t="s">
        <v>76</v>
      </c>
    </row>
    <row r="69" spans="1:1">
      <c r="A69" t="s">
        <v>104</v>
      </c>
    </row>
    <row r="70" spans="1:1">
      <c r="A70" s="25" t="s">
        <v>87</v>
      </c>
    </row>
    <row r="71" spans="1:1">
      <c r="A71" t="s">
        <v>88</v>
      </c>
    </row>
  </sheetData>
  <sortState xmlns:xlrd2="http://schemas.microsoft.com/office/spreadsheetml/2017/richdata2" ref="A2:Q15">
    <sortCondition descending="1" ref="H2:H15"/>
  </sortState>
  <conditionalFormatting sqref="F2:F16">
    <cfRule type="cellIs" dxfId="1" priority="1" operator="greaterThan">
      <formula>10000</formula>
    </cfRule>
    <cfRule type="cellIs" dxfId="0" priority="2" operator="between">
      <formula>1000</formula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c_compound_conversions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Stone, Bram W</dc:creator>
  <cp:keywords/>
  <dc:description/>
  <cp:lastModifiedBy>Stone, Bram W</cp:lastModifiedBy>
  <cp:revision/>
  <dcterms:created xsi:type="dcterms:W3CDTF">2025-01-14T20:18:15Z</dcterms:created>
  <dcterms:modified xsi:type="dcterms:W3CDTF">2025-09-11T22:55:11Z</dcterms:modified>
  <cp:category/>
  <cp:contentStatus/>
</cp:coreProperties>
</file>