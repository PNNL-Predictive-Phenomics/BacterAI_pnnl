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bram_stone_pnnl_gov/Documents/Documents/projects/ppi/tecan_data/P_putida_growth_boundaries/"/>
    </mc:Choice>
  </mc:AlternateContent>
  <xr:revisionPtr revIDLastSave="1596" documentId="8_{7F58A3C3-DAA2-564F-85ED-E8E4C099C3DF}" xr6:coauthVersionLast="47" xr6:coauthVersionMax="47" xr10:uidLastSave="{9BB7526F-BB62-5F4E-B2BB-152EDB09322A}"/>
  <bookViews>
    <workbookView xWindow="8120" yWindow="7720" windowWidth="32940" windowHeight="17000" xr2:uid="{D14A359E-744E-7C44-B0ED-A6A10D00023B}"/>
  </bookViews>
  <sheets>
    <sheet name="Sheet1" sheetId="1" r:id="rId1"/>
    <sheet name="dispensing_worksheet" sheetId="3" r:id="rId2"/>
    <sheet name="c_compound_conversions_OL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18" i="3"/>
  <c r="F7" i="3"/>
  <c r="W14" i="3"/>
  <c r="F19" i="3"/>
  <c r="G19" i="3" s="1"/>
  <c r="K19" i="3" s="1"/>
  <c r="M19" i="3" s="1"/>
  <c r="O19" i="3" s="1"/>
  <c r="I3" i="1"/>
  <c r="I4" i="1"/>
  <c r="I5" i="1"/>
  <c r="F14" i="3"/>
  <c r="G14" i="3" s="1"/>
  <c r="K14" i="3" s="1"/>
  <c r="N14" i="3" s="1"/>
  <c r="I19" i="3" l="1"/>
  <c r="N19" i="3"/>
  <c r="P19" i="3"/>
  <c r="H19" i="3"/>
  <c r="H14" i="3"/>
  <c r="I14" i="3"/>
  <c r="M14" i="3"/>
  <c r="F2" i="3"/>
  <c r="H2" i="3" s="1"/>
  <c r="D3" i="3"/>
  <c r="D4" i="3"/>
  <c r="D6" i="3"/>
  <c r="D7" i="3"/>
  <c r="D8" i="3"/>
  <c r="D9" i="3"/>
  <c r="D10" i="3"/>
  <c r="D11" i="3"/>
  <c r="D15" i="3"/>
  <c r="D16" i="3"/>
  <c r="D17" i="3"/>
  <c r="D2" i="3"/>
  <c r="F2" i="2"/>
  <c r="W18" i="3"/>
  <c r="W17" i="3"/>
  <c r="W16" i="3"/>
  <c r="W15" i="3"/>
  <c r="W13" i="3"/>
  <c r="W12" i="3"/>
  <c r="W11" i="3"/>
  <c r="W10" i="3"/>
  <c r="W9" i="3"/>
  <c r="W8" i="3"/>
  <c r="W7" i="3"/>
  <c r="W6" i="3"/>
  <c r="W5" i="3"/>
  <c r="W4" i="3"/>
  <c r="W3" i="3"/>
  <c r="W2" i="3"/>
  <c r="F3" i="3"/>
  <c r="G3" i="3" s="1"/>
  <c r="K3" i="3" s="1"/>
  <c r="F4" i="3"/>
  <c r="G4" i="3" s="1"/>
  <c r="K4" i="3" s="1"/>
  <c r="F5" i="3"/>
  <c r="G5" i="3" s="1"/>
  <c r="K5" i="3" s="1"/>
  <c r="F6" i="3"/>
  <c r="H6" i="3" s="1"/>
  <c r="H7" i="3"/>
  <c r="F8" i="3"/>
  <c r="H8" i="3" s="1"/>
  <c r="F9" i="3"/>
  <c r="H9" i="3" s="1"/>
  <c r="F10" i="3"/>
  <c r="G10" i="3" s="1"/>
  <c r="K10" i="3" s="1"/>
  <c r="F11" i="3"/>
  <c r="H11" i="3" s="1"/>
  <c r="F12" i="3"/>
  <c r="G12" i="3" s="1"/>
  <c r="K12" i="3" s="1"/>
  <c r="F13" i="3"/>
  <c r="G13" i="3" s="1"/>
  <c r="K13" i="3" s="1"/>
  <c r="F15" i="3"/>
  <c r="G15" i="3" s="1"/>
  <c r="K15" i="3" s="1"/>
  <c r="F16" i="3"/>
  <c r="G16" i="3" s="1"/>
  <c r="K16" i="3" s="1"/>
  <c r="F17" i="3"/>
  <c r="G17" i="3" s="1"/>
  <c r="K17" i="3" s="1"/>
  <c r="F18" i="3"/>
  <c r="G18" i="3" s="1"/>
  <c r="K18" i="3" s="1"/>
  <c r="F20" i="3"/>
  <c r="G20" i="3" s="1"/>
  <c r="K20" i="3" s="1"/>
  <c r="C7" i="2"/>
  <c r="E10" i="2"/>
  <c r="E9" i="2"/>
  <c r="E8" i="2"/>
  <c r="D30" i="2"/>
  <c r="D31" i="2"/>
  <c r="D32" i="2"/>
  <c r="C32" i="2"/>
  <c r="M7" i="2"/>
  <c r="M8" i="2"/>
  <c r="M9" i="2"/>
  <c r="M10" i="2"/>
  <c r="M3" i="2"/>
  <c r="M4" i="2"/>
  <c r="M5" i="2"/>
  <c r="M6" i="2"/>
  <c r="C31" i="2"/>
  <c r="D29" i="2"/>
  <c r="C30" i="2"/>
  <c r="F3" i="2"/>
  <c r="C9" i="2"/>
  <c r="F9" i="2" s="1"/>
  <c r="C10" i="2"/>
  <c r="F10" i="2" s="1"/>
  <c r="C8" i="2"/>
  <c r="F8" i="2" s="1"/>
  <c r="D40" i="2"/>
  <c r="C14" i="2"/>
  <c r="F14" i="2" s="1"/>
  <c r="P14" i="3" l="1"/>
  <c r="O14" i="3"/>
  <c r="I18" i="3"/>
  <c r="I17" i="3"/>
  <c r="I20" i="3"/>
  <c r="M20" i="3"/>
  <c r="O20" i="3" s="1"/>
  <c r="I12" i="3"/>
  <c r="N13" i="3"/>
  <c r="M12" i="3"/>
  <c r="O12" i="3" s="1"/>
  <c r="I16" i="3"/>
  <c r="I13" i="3"/>
  <c r="I15" i="3"/>
  <c r="I11" i="3"/>
  <c r="I9" i="3"/>
  <c r="I8" i="3"/>
  <c r="I10" i="3"/>
  <c r="I5" i="3"/>
  <c r="I3" i="3"/>
  <c r="I6" i="3"/>
  <c r="I4" i="3"/>
  <c r="I7" i="3"/>
  <c r="I2" i="3"/>
  <c r="N15" i="3"/>
  <c r="N10" i="3"/>
  <c r="N3" i="3"/>
  <c r="N5" i="3"/>
  <c r="N12" i="3"/>
  <c r="N4" i="3"/>
  <c r="N16" i="3"/>
  <c r="N20" i="3"/>
  <c r="G2" i="3"/>
  <c r="K2" i="3" s="1"/>
  <c r="M2" i="3" s="1"/>
  <c r="M4" i="3"/>
  <c r="O4" i="3" s="1"/>
  <c r="M13" i="3"/>
  <c r="O13" i="3" s="1"/>
  <c r="M10" i="3"/>
  <c r="O10" i="3" s="1"/>
  <c r="M5" i="3"/>
  <c r="O5" i="3" s="1"/>
  <c r="M16" i="3"/>
  <c r="O16" i="3" s="1"/>
  <c r="M15" i="3"/>
  <c r="O15" i="3" s="1"/>
  <c r="N17" i="3"/>
  <c r="N18" i="3"/>
  <c r="M3" i="3"/>
  <c r="O3" i="3" s="1"/>
  <c r="H20" i="3"/>
  <c r="H17" i="3"/>
  <c r="G8" i="3"/>
  <c r="G7" i="3"/>
  <c r="G9" i="3"/>
  <c r="G6" i="3"/>
  <c r="G11" i="3"/>
  <c r="H16" i="3"/>
  <c r="H15" i="3"/>
  <c r="H12" i="3"/>
  <c r="H13" i="3"/>
  <c r="H18" i="3"/>
  <c r="H10" i="3"/>
  <c r="H5" i="3"/>
  <c r="H4" i="3"/>
  <c r="H3" i="3"/>
  <c r="C17" i="2"/>
  <c r="F17" i="2" s="1"/>
  <c r="H22" i="2"/>
  <c r="I22" i="2" s="1"/>
  <c r="E5" i="2"/>
  <c r="O42" i="2"/>
  <c r="P12" i="3" l="1"/>
  <c r="P20" i="3"/>
  <c r="K11" i="3"/>
  <c r="N11" i="3" s="1"/>
  <c r="K9" i="3"/>
  <c r="N9" i="3" s="1"/>
  <c r="K8" i="3"/>
  <c r="N8" i="3" s="1"/>
  <c r="K7" i="3"/>
  <c r="N7" i="3" s="1"/>
  <c r="K6" i="3"/>
  <c r="N6" i="3" s="1"/>
  <c r="P3" i="3"/>
  <c r="P15" i="3"/>
  <c r="P16" i="3"/>
  <c r="P5" i="3"/>
  <c r="P10" i="3"/>
  <c r="P13" i="3"/>
  <c r="P4" i="3"/>
  <c r="M17" i="3"/>
  <c r="O17" i="3" s="1"/>
  <c r="M18" i="3"/>
  <c r="O18" i="3" s="1"/>
  <c r="N2" i="3"/>
  <c r="G41" i="2"/>
  <c r="L42" i="2"/>
  <c r="M42" i="2" s="1"/>
  <c r="N42" i="2" s="1"/>
  <c r="D42" i="2"/>
  <c r="C19" i="2"/>
  <c r="D19" i="2" s="1"/>
  <c r="M14" i="2"/>
  <c r="E14" i="2"/>
  <c r="D41" i="2"/>
  <c r="G40" i="2"/>
  <c r="E7" i="2"/>
  <c r="F7" i="2"/>
  <c r="C4" i="2"/>
  <c r="F4" i="2" s="1"/>
  <c r="C5" i="2"/>
  <c r="F5" i="2" s="1"/>
  <c r="C6" i="2"/>
  <c r="F6" i="2" s="1"/>
  <c r="C11" i="2"/>
  <c r="F11" i="2" s="1"/>
  <c r="C12" i="2"/>
  <c r="F12" i="2" s="1"/>
  <c r="C13" i="2"/>
  <c r="F13" i="2" s="1"/>
  <c r="C15" i="2"/>
  <c r="F15" i="2" s="1"/>
  <c r="C16" i="2"/>
  <c r="F16" i="2" s="1"/>
  <c r="C18" i="2"/>
  <c r="F18" i="2" s="1"/>
  <c r="C2" i="2"/>
  <c r="C48" i="2"/>
  <c r="C49" i="2"/>
  <c r="C50" i="2"/>
  <c r="C51" i="2"/>
  <c r="C52" i="2"/>
  <c r="C53" i="2"/>
  <c r="C54" i="2"/>
  <c r="C47" i="2"/>
  <c r="B49" i="2"/>
  <c r="G49" i="2" s="1"/>
  <c r="B50" i="2"/>
  <c r="G50" i="2" s="1"/>
  <c r="B51" i="2"/>
  <c r="G51" i="2" s="1"/>
  <c r="B52" i="2"/>
  <c r="G52" i="2" s="1"/>
  <c r="B53" i="2"/>
  <c r="G53" i="2" s="1"/>
  <c r="B54" i="2"/>
  <c r="G54" i="2" s="1"/>
  <c r="B47" i="2"/>
  <c r="G47" i="2" s="1"/>
  <c r="E3" i="2"/>
  <c r="E4" i="2"/>
  <c r="E6" i="2"/>
  <c r="E11" i="2"/>
  <c r="E12" i="2"/>
  <c r="E13" i="2"/>
  <c r="E15" i="2"/>
  <c r="E16" i="2"/>
  <c r="E17" i="2"/>
  <c r="E18" i="2"/>
  <c r="E2" i="2"/>
  <c r="D33" i="2"/>
  <c r="D43" i="2"/>
  <c r="D27" i="2"/>
  <c r="D28" i="2"/>
  <c r="D34" i="2"/>
  <c r="D36" i="2"/>
  <c r="D37" i="2"/>
  <c r="D38" i="2"/>
  <c r="D39" i="2"/>
  <c r="D35" i="2"/>
  <c r="D26" i="2"/>
  <c r="I50" i="2" s="1"/>
  <c r="D47" i="2"/>
  <c r="E47" i="2" s="1"/>
  <c r="D52" i="2"/>
  <c r="E52" i="2" s="1"/>
  <c r="D50" i="2"/>
  <c r="E50" i="2" s="1"/>
  <c r="M2" i="2"/>
  <c r="D49" i="2" s="1"/>
  <c r="E49" i="2" s="1"/>
  <c r="M11" i="2"/>
  <c r="D51" i="2"/>
  <c r="E51" i="2" s="1"/>
  <c r="M15" i="2"/>
  <c r="M16" i="2"/>
  <c r="M17" i="2"/>
  <c r="M12" i="2"/>
  <c r="D54" i="2" s="1"/>
  <c r="E54" i="2" s="1"/>
  <c r="M18" i="2"/>
  <c r="M13" i="2"/>
  <c r="M8" i="3" l="1"/>
  <c r="O8" i="3" s="1"/>
  <c r="M11" i="3"/>
  <c r="O11" i="3" s="1"/>
  <c r="M9" i="3"/>
  <c r="O9" i="3" s="1"/>
  <c r="M7" i="3"/>
  <c r="O7" i="3" s="1"/>
  <c r="M6" i="3"/>
  <c r="O6" i="3" s="1"/>
  <c r="P18" i="3"/>
  <c r="P9" i="3"/>
  <c r="P17" i="3"/>
  <c r="P8" i="3"/>
  <c r="O2" i="3"/>
  <c r="E19" i="2"/>
  <c r="F19" i="2"/>
  <c r="D53" i="2"/>
  <c r="E53" i="2" s="1"/>
  <c r="H53" i="2" s="1"/>
  <c r="H51" i="2"/>
  <c r="H54" i="2"/>
  <c r="H50" i="2"/>
  <c r="L50" i="2"/>
  <c r="H47" i="2"/>
  <c r="H52" i="2"/>
  <c r="H49" i="2"/>
  <c r="I49" i="2"/>
  <c r="J50" i="2"/>
  <c r="K50" i="2" s="1"/>
  <c r="I47" i="2"/>
  <c r="I54" i="2"/>
  <c r="I53" i="2"/>
  <c r="I52" i="2"/>
  <c r="I51" i="2"/>
  <c r="P11" i="3" l="1"/>
  <c r="P6" i="3"/>
  <c r="P7" i="3"/>
  <c r="P2" i="3"/>
  <c r="J49" i="2"/>
  <c r="K49" i="2" s="1"/>
  <c r="L49" i="2"/>
  <c r="J51" i="2"/>
  <c r="K51" i="2" s="1"/>
  <c r="L51" i="2"/>
  <c r="J52" i="2"/>
  <c r="K52" i="2" s="1"/>
  <c r="L52" i="2"/>
  <c r="J53" i="2"/>
  <c r="K53" i="2" s="1"/>
  <c r="L53" i="2"/>
  <c r="J54" i="2"/>
  <c r="K54" i="2" s="1"/>
  <c r="L54" i="2"/>
  <c r="J47" i="2"/>
  <c r="K47" i="2" s="1"/>
  <c r="L47" i="2"/>
</calcChain>
</file>

<file path=xl/sharedStrings.xml><?xml version="1.0" encoding="utf-8"?>
<sst xmlns="http://schemas.openxmlformats.org/spreadsheetml/2006/main" count="387" uniqueCount="162">
  <si>
    <t>INGREDIENT</t>
  </si>
  <si>
    <t>TYPE</t>
  </si>
  <si>
    <t>NOMINAL_VALUE</t>
  </si>
  <si>
    <t>MIN_VALUE</t>
  </si>
  <si>
    <t>MAX_VALUE</t>
  </si>
  <si>
    <t>UNIT</t>
  </si>
  <si>
    <t>N_STATES</t>
  </si>
  <si>
    <t>C_ATOMS</t>
  </si>
  <si>
    <t>N_ATOMS</t>
  </si>
  <si>
    <t>oxyrase</t>
  </si>
  <si>
    <t>binary</t>
  </si>
  <si>
    <t>NA</t>
  </si>
  <si>
    <t>d_glucose</t>
  </si>
  <si>
    <t>quantitative</t>
  </si>
  <si>
    <t>sodium_citrate</t>
  </si>
  <si>
    <t>sodium_octanoate</t>
  </si>
  <si>
    <t>sodium_acetate</t>
  </si>
  <si>
    <t>sodium_benzoate</t>
  </si>
  <si>
    <t>pH</t>
  </si>
  <si>
    <t>semi-quantitative</t>
  </si>
  <si>
    <t>sodium_chloride</t>
  </si>
  <si>
    <t>potassium_chloride</t>
  </si>
  <si>
    <t>Wolfes_trace_metals</t>
  </si>
  <si>
    <t>urea</t>
  </si>
  <si>
    <t>ammonium_chloride</t>
  </si>
  <si>
    <t>MW (g / mol)</t>
  </si>
  <si>
    <t>stock concentration M</t>
  </si>
  <si>
    <t>final concentration mM</t>
  </si>
  <si>
    <t>vol of stock for final concentration nL</t>
  </si>
  <si>
    <t>Echo aliquots</t>
  </si>
  <si>
    <t>C</t>
  </si>
  <si>
    <t>H</t>
  </si>
  <si>
    <t>N</t>
  </si>
  <si>
    <t>O</t>
  </si>
  <si>
    <t>P</t>
  </si>
  <si>
    <t>S</t>
  </si>
  <si>
    <t>NOSC</t>
  </si>
  <si>
    <t>Na</t>
  </si>
  <si>
    <t>K</t>
  </si>
  <si>
    <t>Cl</t>
  </si>
  <si>
    <t>p_coumaric_acid</t>
  </si>
  <si>
    <t>fill well volume (uL)</t>
  </si>
  <si>
    <t>max well volume (uL)</t>
  </si>
  <si>
    <t>purpose of this document is to see whether we can feasibly mix up the stock solutions to the necessary concentrations for the Echo to deliver in nL</t>
  </si>
  <si>
    <t>MW (g per mol)</t>
  </si>
  <si>
    <t>max g per 100 mL (solubility limit)</t>
  </si>
  <si>
    <t>max molarity (solubility limit)</t>
  </si>
  <si>
    <t>C source</t>
  </si>
  <si>
    <t>Andrew Frank could get 0.5 M. It initially formed foam after the filtration step (micelles?) but that went away</t>
  </si>
  <si>
    <t>C and N source</t>
  </si>
  <si>
    <t>N source</t>
  </si>
  <si>
    <t>C atoms</t>
  </si>
  <si>
    <t>Cox Gibbs free energy (kJ per mol)</t>
  </si>
  <si>
    <t>proposed concentration mg per L</t>
  </si>
  <si>
    <t>proposed concentration mM</t>
  </si>
  <si>
    <t>potential energy (J)</t>
  </si>
  <si>
    <t>Stock X</t>
  </si>
  <si>
    <t>I tried to match the concentrations to potential energy</t>
  </si>
  <si>
    <t>Could dissolve P-coumaric acid in DMSO or ethanol</t>
  </si>
  <si>
    <t>Additional notes</t>
  </si>
  <si>
    <t>Carbon:</t>
  </si>
  <si>
    <r>
      <t xml:space="preserve">Nadal-Rey et al. (https://doi.org/10.1016/j.bej.2023.108989) model vast majority of cells (99.999%) see glucose concentrations from 1 - 45 g / m3 = </t>
    </r>
    <r>
      <rPr>
        <u/>
        <sz val="12"/>
        <color theme="1"/>
        <rFont val="Arial"/>
        <family val="2"/>
      </rPr>
      <t>1 - 45 mg / L</t>
    </r>
  </si>
  <si>
    <r>
      <t xml:space="preserve">Earlier work by the group also puts glucose concentrations for yeast in the range of </t>
    </r>
    <r>
      <rPr>
        <u/>
        <sz val="12"/>
        <color theme="1"/>
        <rFont val="Arial"/>
        <family val="2"/>
      </rPr>
      <t xml:space="preserve">0-80 mg glucose per L </t>
    </r>
    <r>
      <rPr>
        <sz val="12"/>
        <color theme="1"/>
        <rFont val="Arial"/>
        <family val="2"/>
      </rPr>
      <t>(Nadal-Rey et al. https://doi.org/10.1016/j.cej.2021.130402)</t>
    </r>
  </si>
  <si>
    <r>
      <t>The salt bioreactor provided glycerol at 270 mg per L with residual aromatic C sources at 80 - 90 mg per L (</t>
    </r>
    <r>
      <rPr>
        <u/>
        <sz val="12"/>
        <color theme="1"/>
        <rFont val="Arial"/>
        <family val="2"/>
      </rPr>
      <t>total mg C compounds: 350 - 360 mg per L</t>
    </r>
    <r>
      <rPr>
        <sz val="12"/>
        <color theme="1"/>
        <rFont val="Arial"/>
        <family val="2"/>
      </rPr>
      <t>)</t>
    </r>
  </si>
  <si>
    <r>
      <t>A fermentation reactor added carbon sources to maintain between 5 - 12 g / L =</t>
    </r>
    <r>
      <rPr>
        <u/>
        <sz val="12"/>
        <color theme="1"/>
        <rFont val="Arial"/>
        <family val="2"/>
      </rPr>
      <t xml:space="preserve"> 5,000 - 12,000 mg / L</t>
    </r>
    <r>
      <rPr>
        <sz val="12"/>
        <color theme="1"/>
        <rFont val="Arial"/>
        <family val="2"/>
      </rPr>
      <t xml:space="preserve"> (Choi et al. https://doi.org/10.1002/bit.25988) and batch experiments with glucose starting at 18 g per L</t>
    </r>
  </si>
  <si>
    <r>
      <t xml:space="preserve">Enfors et al. found mean glucose concentrations at </t>
    </r>
    <r>
      <rPr>
        <u/>
        <sz val="12"/>
        <color theme="1"/>
        <rFont val="Arial"/>
        <family val="2"/>
      </rPr>
      <t xml:space="preserve">27 - 57 mg / L </t>
    </r>
    <r>
      <rPr>
        <sz val="12"/>
        <color theme="1"/>
        <rFont val="Arial"/>
        <family val="2"/>
      </rPr>
      <t>(https://doi.org/10.1016/S0168-1656(00)00365-5)</t>
    </r>
  </si>
  <si>
    <r>
      <t>Bylund et al.</t>
    </r>
    <r>
      <rPr>
        <u/>
        <sz val="12"/>
        <color theme="1"/>
        <rFont val="Arial"/>
        <family val="2"/>
      </rPr>
      <t xml:space="preserve"> added glucose at 15 mg / L</t>
    </r>
    <r>
      <rPr>
        <sz val="12"/>
        <color theme="1"/>
        <rFont val="Arial"/>
        <family val="2"/>
      </rPr>
      <t xml:space="preserve"> and it was kept constant at around 10 mg / L (https://doi.org/10.1007/s004490050427). Their intent was keep C sources low enough to avoid oxygen depletion.</t>
    </r>
  </si>
  <si>
    <t xml:space="preserve">     Acetate was also in this same range (1-10 mg per L)</t>
  </si>
  <si>
    <r>
      <t xml:space="preserve"> </t>
    </r>
    <r>
      <rPr>
        <u/>
        <sz val="12"/>
        <color theme="1"/>
        <rFont val="Arial"/>
        <family val="2"/>
      </rPr>
      <t>Salt</t>
    </r>
    <r>
      <rPr>
        <sz val="12"/>
        <color theme="1"/>
        <rFont val="Arial"/>
        <family val="2"/>
      </rPr>
      <t>:</t>
    </r>
  </si>
  <si>
    <t xml:space="preserve">the amounts of salt to add were guided from some of my Pauling work: </t>
  </si>
  <si>
    <t>from Altendorf et al. 2009 (https://doi.org/10.1128/ecosalplus.5.4.5), osmoregulatory response kicks off in model organisms at osmotic pressures  of -1.2 MPa and osmolality of 0.5</t>
  </si>
  <si>
    <t>given that NaCl (and KCl) dissociates into two ions, osmolality of 0.5 means half as many moles, so 0.25 mol NaCl (or KCl) = 14,610 mg per L</t>
  </si>
  <si>
    <t>BUT WHAT IS REALISTIC FOR BIOREACTOR ACCUMULATION?</t>
  </si>
  <si>
    <t>A bioreactor system meant for halophiles used 150 g per L NaCl = 2.5 M (Mahler et al. https://doi.org/10.1016/j.bej.2017.11.006)</t>
  </si>
  <si>
    <t>A bioreactor for an osmotolerant yeast used 2 M NaCl = 2,000 mM = 116 g per L NaCl (Djehl et al. https://doi.org/10.1016/j.jbiotec.2006.02.005)</t>
  </si>
  <si>
    <r>
      <t xml:space="preserve">Choi et al. used a medium of 1 g / L NaCl = </t>
    </r>
    <r>
      <rPr>
        <u/>
        <sz val="12"/>
        <color theme="1"/>
        <rFont val="ArialMT"/>
      </rPr>
      <t xml:space="preserve">1,000 mg / L NaCl </t>
    </r>
    <r>
      <rPr>
        <sz val="12"/>
        <color theme="1"/>
        <rFont val="ArialMT"/>
        <family val="2"/>
      </rPr>
      <t xml:space="preserve">and which also had </t>
    </r>
    <r>
      <rPr>
        <u/>
        <sz val="12"/>
        <color theme="1"/>
        <rFont val="ArialMT"/>
      </rPr>
      <t xml:space="preserve">8.709 g / L of K2HPO4 = 8,709 mg / L </t>
    </r>
    <r>
      <rPr>
        <sz val="12"/>
        <color theme="1"/>
        <rFont val="ArialMT"/>
        <family val="2"/>
      </rPr>
      <t>(https://doi.org/10.1002/bit.25988)</t>
    </r>
  </si>
  <si>
    <t>stress</t>
  </si>
  <si>
    <t>mme_trace_minerals</t>
  </si>
  <si>
    <t>Stock is 1000X; MME trace minerals = M9 trace minerals</t>
  </si>
  <si>
    <t>NA_ATOMS</t>
  </si>
  <si>
    <t>CL_ATOMS</t>
  </si>
  <si>
    <t>H2O2</t>
  </si>
  <si>
    <t>2.5 mM per Nikel et al. (https://doi.org/10.1038/s41396-020-00884-9)</t>
  </si>
  <si>
    <t>glycerophosphoric_acid</t>
  </si>
  <si>
    <t>sodium_formate</t>
  </si>
  <si>
    <t>strain</t>
  </si>
  <si>
    <r>
      <t xml:space="preserve">Progressive salt accumulation in a solid-state bioreactor starting at </t>
    </r>
    <r>
      <rPr>
        <u/>
        <sz val="12"/>
        <color theme="1"/>
        <rFont val="ArialMT"/>
      </rPr>
      <t>marine level of 18 g per L NaCl up to 65 g per L</t>
    </r>
    <r>
      <rPr>
        <sz val="12"/>
        <color theme="1"/>
        <rFont val="ArialMT"/>
        <family val="2"/>
      </rPr>
      <t xml:space="preserve"> (Torrado et al. https://doi.org/10.1002/jctb.3813</t>
    </r>
    <r>
      <rPr>
        <b/>
        <sz val="12"/>
        <color theme="1"/>
        <rFont val="ArialMT"/>
      </rPr>
      <t>)</t>
    </r>
  </si>
  <si>
    <t>mmol/L</t>
  </si>
  <si>
    <t>Oxyrase substrate</t>
  </si>
  <si>
    <t>glycerophosphoric acid</t>
  </si>
  <si>
    <t>resazurin</t>
  </si>
  <si>
    <t>Oxygen sensitive dye</t>
  </si>
  <si>
    <t>working conc. is 1 g / L</t>
  </si>
  <si>
    <t>g / L</t>
  </si>
  <si>
    <t>mg / L</t>
  </si>
  <si>
    <t>mg / mL</t>
  </si>
  <si>
    <t>mg in 10 mL</t>
  </si>
  <si>
    <t>final concentration mg per L</t>
  </si>
  <si>
    <t>g / 100 mL</t>
  </si>
  <si>
    <t>g per L</t>
  </si>
  <si>
    <t>M</t>
  </si>
  <si>
    <t>mM</t>
  </si>
  <si>
    <t>1 M solution caused exceptions on the Echo, going to 0.5 M</t>
  </si>
  <si>
    <t>d_xylose</t>
  </si>
  <si>
    <t>d_galactose</t>
  </si>
  <si>
    <t>l_arabinose</t>
  </si>
  <si>
    <t>stock molarity made for Echo experiments</t>
  </si>
  <si>
    <t>vol of stock for final concentration uL</t>
  </si>
  <si>
    <t>stock_x</t>
  </si>
  <si>
    <t>media</t>
  </si>
  <si>
    <t>stock concentration mM</t>
  </si>
  <si>
    <t>stock concentration g per L</t>
  </si>
  <si>
    <t>Could be moved into cell by L-arabinose transporter, but it doesn't eat it -- could accumulate?</t>
  </si>
  <si>
    <t>Total volume (uL)</t>
  </si>
  <si>
    <t>Some notes</t>
  </si>
  <si>
    <t>ingredients.csv should include:</t>
  </si>
  <si>
    <t>condition, reagent, type, n-states, nominal val, min val, max val, stock conc</t>
  </si>
  <si>
    <t>Footnotes</t>
  </si>
  <si>
    <t>* This is what someone in the lab would probably make up for an experiment in a 50 mL centrifuge tube or 50 mL volumetric flask</t>
  </si>
  <si>
    <r>
      <rPr>
        <b/>
        <sz val="12"/>
        <color theme="1"/>
        <rFont val="Arial"/>
        <family val="2"/>
      </rPr>
      <t>Typical</t>
    </r>
    <r>
      <rPr>
        <sz val="12"/>
        <color theme="1"/>
        <rFont val="Arial"/>
        <family val="2"/>
      </rPr>
      <t xml:space="preserve"> workflow is to have </t>
    </r>
    <r>
      <rPr>
        <b/>
        <sz val="12"/>
        <color theme="1"/>
        <rFont val="Arial"/>
        <family val="2"/>
      </rPr>
      <t>media at 2X</t>
    </r>
    <r>
      <rPr>
        <sz val="12"/>
        <color theme="1"/>
        <rFont val="Arial"/>
        <family val="2"/>
      </rPr>
      <t xml:space="preserve"> and </t>
    </r>
    <r>
      <rPr>
        <b/>
        <sz val="12"/>
        <color theme="1"/>
        <rFont val="Arial"/>
        <family val="2"/>
      </rPr>
      <t>other ingredients from 10-50X</t>
    </r>
    <r>
      <rPr>
        <sz val="12"/>
        <color theme="1"/>
        <rFont val="Arial"/>
        <family val="2"/>
      </rPr>
      <t xml:space="preserve"> as needed for total volume and limits on stock creation</t>
    </r>
  </si>
  <si>
    <t>*** Assuming the Tecan liquid FCA can't be relied upon for more precise pipetting at smaller increments than 0.1 µL (100 nL)</t>
  </si>
  <si>
    <t>** If we make the stock concentrations using the highlighted formulation, what will the dispensing volume need to be to achieve that volume?</t>
  </si>
  <si>
    <t>vol stock to make (mL)</t>
  </si>
  <si>
    <t>maximum number of wells supported from [_] mL stock</t>
  </si>
  <si>
    <t>stock concentration actually made (mM)</t>
  </si>
  <si>
    <t>stock concentration actually made (g per [_] mL)*</t>
  </si>
  <si>
    <t>increments</t>
  </si>
  <si>
    <t>check: % of final vol if rounding dispense to 1.0 (µL)***</t>
  </si>
  <si>
    <t>^EDIT^</t>
  </si>
  <si>
    <t>max concentration (mM)</t>
  </si>
  <si>
    <t>min non-zero concentration (mM)</t>
  </si>
  <si>
    <t>vol for min concentration (µL)</t>
  </si>
  <si>
    <t>vol for max concentration (µL)</t>
  </si>
  <si>
    <t>vol for max using real stocks (uL)**</t>
  </si>
  <si>
    <t>vol for min using real stocks (uL)</t>
  </si>
  <si>
    <t>CONDITION</t>
  </si>
  <si>
    <t>REAGENT</t>
  </si>
  <si>
    <t>STOCK_X</t>
  </si>
  <si>
    <t>STOCK_CONC</t>
  </si>
  <si>
    <t>o2</t>
  </si>
  <si>
    <t>X</t>
  </si>
  <si>
    <t>potassium_phosphate</t>
  </si>
  <si>
    <t>magnesium_sulfate</t>
  </si>
  <si>
    <t>calcium_chloride</t>
  </si>
  <si>
    <t>pH_buffer</t>
  </si>
  <si>
    <t>baseline_media</t>
  </si>
  <si>
    <t>tetrasodium_edta</t>
  </si>
  <si>
    <t>ferric_chloride</t>
  </si>
  <si>
    <t>zinc_chloride</t>
  </si>
  <si>
    <t>copper_chloride</t>
  </si>
  <si>
    <t>mangenese_chloride</t>
  </si>
  <si>
    <t>boric_acid</t>
  </si>
  <si>
    <t>ammonium_molybdate</t>
  </si>
  <si>
    <t>nickle_chloride</t>
  </si>
  <si>
    <t>cobalt_chloride</t>
  </si>
  <si>
    <t>Purpose of this worksheet:</t>
  </si>
  <si>
    <t>To understand the necessary stock concentrations to achieve good target concentrations using the Tecan Fluent</t>
  </si>
  <si>
    <t>Depending on the reagent, it looks like concentrations of 2X, 4X, 8X  OR 2X, 5X, 9X would work. Baseline media stock would be either 2X or 1.5X</t>
  </si>
  <si>
    <t>But the Tecan Fluent liquid arm (FCA2) with 1 mL fixed pipettes can't go &lt; 10 mL reliably. So we need to modify the plan so that we're pipetting larger volumes (but not too big to use up all the volume)</t>
  </si>
  <si>
    <t>MW</t>
  </si>
  <si>
    <t>P_putida_JE3959</t>
  </si>
  <si>
    <t>orange-G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</si>
</sst>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3">
    <font>
      <sz val="12"/>
      <color theme="1"/>
      <name val="ArialMT"/>
      <family val="2"/>
    </font>
    <font>
      <sz val="11"/>
      <color theme="1"/>
      <name val="Arial"/>
      <family val="2"/>
    </font>
    <font>
      <sz val="12"/>
      <color theme="1"/>
      <name val="ArialMT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MT"/>
    </font>
    <font>
      <b/>
      <sz val="12"/>
      <color theme="1"/>
      <name val="ArialMT"/>
    </font>
    <font>
      <u/>
      <sz val="12"/>
      <color theme="1"/>
      <name val="ArialMT"/>
      <family val="2"/>
    </font>
    <font>
      <sz val="12"/>
      <color theme="1"/>
      <name val="ArialMT"/>
    </font>
    <font>
      <b/>
      <sz val="12"/>
      <color theme="1"/>
      <name val="Arial"/>
      <family val="2"/>
    </font>
    <font>
      <b/>
      <i/>
      <sz val="12"/>
      <color theme="1"/>
      <name val="ArialMT"/>
    </font>
    <font>
      <b/>
      <i/>
      <u/>
      <sz val="12"/>
      <color theme="1"/>
      <name val="Arial"/>
      <family val="2"/>
    </font>
    <font>
      <sz val="11"/>
      <color theme="1"/>
      <name val="ArialMT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2" fontId="0" fillId="0" borderId="0" xfId="0" applyNumberFormat="1"/>
    <xf numFmtId="43" fontId="0" fillId="0" borderId="0" xfId="1" applyFont="1"/>
    <xf numFmtId="43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43" fontId="0" fillId="0" borderId="0" xfId="1" applyFont="1" applyAlignment="1">
      <alignment wrapText="1"/>
    </xf>
    <xf numFmtId="2" fontId="0" fillId="0" borderId="0" xfId="1" applyNumberFormat="1" applyFont="1"/>
    <xf numFmtId="0" fontId="0" fillId="0" borderId="0" xfId="0" applyAlignment="1">
      <alignment horizontal="left" wrapText="1"/>
    </xf>
    <xf numFmtId="0" fontId="0" fillId="2" borderId="0" xfId="0" applyFill="1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2" fontId="0" fillId="2" borderId="0" xfId="0" applyNumberFormat="1" applyFill="1"/>
    <xf numFmtId="2" fontId="0" fillId="3" borderId="0" xfId="0" applyNumberFormat="1" applyFill="1"/>
    <xf numFmtId="0" fontId="6" fillId="0" borderId="0" xfId="0" applyFont="1"/>
    <xf numFmtId="2" fontId="0" fillId="4" borderId="0" xfId="0" applyNumberFormat="1" applyFill="1"/>
    <xf numFmtId="0" fontId="1" fillId="5" borderId="0" xfId="0" applyFont="1" applyFill="1" applyAlignment="1">
      <alignment vertical="center"/>
    </xf>
    <xf numFmtId="0" fontId="0" fillId="5" borderId="0" xfId="0" applyFill="1"/>
    <xf numFmtId="2" fontId="0" fillId="5" borderId="0" xfId="0" applyNumberFormat="1" applyFill="1"/>
    <xf numFmtId="2" fontId="0" fillId="6" borderId="0" xfId="0" applyNumberFormat="1" applyFill="1"/>
    <xf numFmtId="0" fontId="7" fillId="0" borderId="0" xfId="0" applyFont="1"/>
    <xf numFmtId="2" fontId="0" fillId="7" borderId="0" xfId="0" applyNumberFormat="1" applyFill="1"/>
    <xf numFmtId="0" fontId="3" fillId="0" borderId="3" xfId="0" applyFont="1" applyBorder="1" applyAlignment="1">
      <alignment vertical="center"/>
    </xf>
    <xf numFmtId="0" fontId="0" fillId="0" borderId="4" xfId="0" applyBorder="1"/>
    <xf numFmtId="0" fontId="3" fillId="0" borderId="5" xfId="0" applyFont="1" applyBorder="1" applyAlignment="1">
      <alignment vertical="center"/>
    </xf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3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43" fontId="0" fillId="0" borderId="3" xfId="1" applyFont="1" applyBorder="1"/>
    <xf numFmtId="43" fontId="0" fillId="0" borderId="5" xfId="1" applyFont="1" applyBorder="1"/>
    <xf numFmtId="165" fontId="0" fillId="0" borderId="3" xfId="1" applyNumberFormat="1" applyFont="1" applyBorder="1"/>
    <xf numFmtId="165" fontId="0" fillId="0" borderId="5" xfId="1" applyNumberFormat="1" applyFont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0" fontId="8" fillId="0" borderId="0" xfId="0" applyFont="1"/>
    <xf numFmtId="43" fontId="0" fillId="0" borderId="4" xfId="1" applyFont="1" applyBorder="1"/>
    <xf numFmtId="43" fontId="0" fillId="0" borderId="2" xfId="0" applyNumberFormat="1" applyBorder="1" applyAlignment="1">
      <alignment wrapText="1"/>
    </xf>
    <xf numFmtId="43" fontId="0" fillId="0" borderId="6" xfId="1" applyFont="1" applyBorder="1"/>
    <xf numFmtId="9" fontId="0" fillId="0" borderId="0" xfId="2" applyFont="1" applyBorder="1" applyAlignment="1">
      <alignment wrapText="1"/>
    </xf>
    <xf numFmtId="9" fontId="0" fillId="0" borderId="9" xfId="2" applyFont="1" applyBorder="1" applyAlignment="1">
      <alignment wrapText="1"/>
    </xf>
    <xf numFmtId="9" fontId="0" fillId="0" borderId="10" xfId="2" applyFont="1" applyBorder="1"/>
    <xf numFmtId="9" fontId="0" fillId="0" borderId="11" xfId="2" applyFont="1" applyBorder="1"/>
    <xf numFmtId="43" fontId="0" fillId="0" borderId="0" xfId="2" applyNumberFormat="1" applyFont="1" applyBorder="1"/>
    <xf numFmtId="165" fontId="0" fillId="0" borderId="0" xfId="1" applyNumberFormat="1" applyFont="1" applyBorder="1"/>
    <xf numFmtId="165" fontId="0" fillId="0" borderId="8" xfId="1" applyNumberFormat="1" applyFont="1" applyBorder="1"/>
    <xf numFmtId="0" fontId="10" fillId="0" borderId="0" xfId="0" applyFont="1"/>
    <xf numFmtId="165" fontId="0" fillId="0" borderId="0" xfId="0" applyNumberFormat="1"/>
    <xf numFmtId="43" fontId="0" fillId="0" borderId="1" xfId="0" applyNumberFormat="1" applyBorder="1" applyAlignment="1">
      <alignment wrapText="1"/>
    </xf>
    <xf numFmtId="0" fontId="0" fillId="8" borderId="0" xfId="0" applyFill="1"/>
    <xf numFmtId="43" fontId="0" fillId="0" borderId="0" xfId="1" applyFont="1" applyFill="1" applyBorder="1"/>
    <xf numFmtId="43" fontId="0" fillId="0" borderId="8" xfId="1" applyFont="1" applyFill="1" applyBorder="1"/>
    <xf numFmtId="164" fontId="0" fillId="0" borderId="4" xfId="1" applyNumberFormat="1" applyFont="1" applyFill="1" applyBorder="1"/>
    <xf numFmtId="164" fontId="0" fillId="0" borderId="6" xfId="1" applyNumberFormat="1" applyFont="1" applyFill="1" applyBorder="1"/>
    <xf numFmtId="0" fontId="11" fillId="0" borderId="0" xfId="0" applyFont="1" applyAlignment="1">
      <alignment vertical="center"/>
    </xf>
    <xf numFmtId="0" fontId="12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A4B4-01E6-5947-9D05-D6B25BB84DB7}">
  <dimension ref="A1:O32"/>
  <sheetViews>
    <sheetView tabSelected="1" zoomScale="110" zoomScaleNormal="110" workbookViewId="0">
      <selection activeCell="C12" sqref="C12"/>
    </sheetView>
  </sheetViews>
  <sheetFormatPr baseColWidth="10" defaultColWidth="11.5703125" defaultRowHeight="16"/>
  <cols>
    <col min="1" max="1" width="15.42578125" bestFit="1" customWidth="1"/>
    <col min="2" max="2" width="21" bestFit="1" customWidth="1"/>
    <col min="3" max="3" width="12.7109375" bestFit="1" customWidth="1"/>
    <col min="4" max="4" width="10.140625" customWidth="1"/>
    <col min="5" max="5" width="21.7109375" customWidth="1"/>
    <col min="6" max="6" width="14" bestFit="1" customWidth="1"/>
    <col min="7" max="7" width="9.7109375" bestFit="1" customWidth="1"/>
    <col min="8" max="8" width="9.7109375" customWidth="1"/>
    <col min="9" max="9" width="13.285156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9" bestFit="1" customWidth="1"/>
    <col min="14" max="15" width="8.5703125" bestFit="1" customWidth="1"/>
  </cols>
  <sheetData>
    <row r="1" spans="1:15">
      <c r="A1" t="s">
        <v>135</v>
      </c>
      <c r="B1" s="1" t="s">
        <v>136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137</v>
      </c>
      <c r="I1" s="1" t="s">
        <v>138</v>
      </c>
      <c r="J1" s="1" t="s">
        <v>5</v>
      </c>
      <c r="K1" s="1" t="s">
        <v>159</v>
      </c>
      <c r="L1" s="1" t="s">
        <v>7</v>
      </c>
      <c r="M1" s="1" t="s">
        <v>8</v>
      </c>
      <c r="N1" s="1" t="s">
        <v>79</v>
      </c>
      <c r="O1" s="1" t="s">
        <v>80</v>
      </c>
    </row>
    <row r="2" spans="1:15">
      <c r="A2" t="s">
        <v>139</v>
      </c>
      <c r="B2" s="1" t="s">
        <v>11</v>
      </c>
      <c r="C2" s="1" t="s">
        <v>10</v>
      </c>
      <c r="D2" s="1">
        <v>2</v>
      </c>
      <c r="E2" s="1">
        <v>0</v>
      </c>
      <c r="F2" s="1">
        <v>0</v>
      </c>
      <c r="G2" s="1">
        <v>1</v>
      </c>
      <c r="H2" s="1">
        <v>20</v>
      </c>
      <c r="I2" s="1" t="s">
        <v>11</v>
      </c>
      <c r="J2" s="1" t="s">
        <v>140</v>
      </c>
      <c r="K2" s="1" t="s">
        <v>11</v>
      </c>
      <c r="L2" s="1">
        <v>0</v>
      </c>
      <c r="M2" s="1">
        <v>0</v>
      </c>
      <c r="N2" s="1">
        <v>0</v>
      </c>
      <c r="O2" s="1">
        <v>0</v>
      </c>
    </row>
    <row r="3" spans="1:15">
      <c r="A3" t="s">
        <v>139</v>
      </c>
      <c r="B3" s="2" t="s">
        <v>9</v>
      </c>
      <c r="C3" t="s">
        <v>10</v>
      </c>
      <c r="D3">
        <v>2</v>
      </c>
      <c r="E3" s="1">
        <v>0</v>
      </c>
      <c r="F3" s="1">
        <v>0</v>
      </c>
      <c r="G3" s="1">
        <v>1</v>
      </c>
      <c r="H3" s="1">
        <v>20</v>
      </c>
      <c r="I3" s="1">
        <f>G3*H3</f>
        <v>20</v>
      </c>
      <c r="J3" t="s">
        <v>140</v>
      </c>
      <c r="K3" t="s">
        <v>11</v>
      </c>
      <c r="L3" s="1">
        <v>0</v>
      </c>
      <c r="M3">
        <v>0</v>
      </c>
      <c r="N3">
        <v>0</v>
      </c>
      <c r="O3">
        <v>0</v>
      </c>
    </row>
    <row r="4" spans="1:15">
      <c r="A4" t="s">
        <v>139</v>
      </c>
      <c r="B4" s="2" t="s">
        <v>83</v>
      </c>
      <c r="C4" t="s">
        <v>10</v>
      </c>
      <c r="D4">
        <v>2</v>
      </c>
      <c r="E4" s="1">
        <v>0</v>
      </c>
      <c r="F4" s="1">
        <v>0</v>
      </c>
      <c r="G4" s="1">
        <v>10</v>
      </c>
      <c r="H4" s="1">
        <v>20</v>
      </c>
      <c r="I4" s="1">
        <f>G4*H4</f>
        <v>200</v>
      </c>
      <c r="J4" t="s">
        <v>87</v>
      </c>
      <c r="K4">
        <v>172.07</v>
      </c>
      <c r="L4" s="1">
        <v>0</v>
      </c>
      <c r="M4">
        <v>0</v>
      </c>
      <c r="N4">
        <v>1</v>
      </c>
      <c r="O4">
        <v>0</v>
      </c>
    </row>
    <row r="5" spans="1:15">
      <c r="A5" t="s">
        <v>139</v>
      </c>
      <c r="B5" s="2" t="s">
        <v>84</v>
      </c>
      <c r="C5" t="s">
        <v>10</v>
      </c>
      <c r="D5">
        <v>2</v>
      </c>
      <c r="E5">
        <v>0</v>
      </c>
      <c r="F5" s="1">
        <v>0</v>
      </c>
      <c r="G5" s="1">
        <v>10</v>
      </c>
      <c r="H5" s="1">
        <v>20</v>
      </c>
      <c r="I5" s="1">
        <f>G5*H5</f>
        <v>200</v>
      </c>
      <c r="J5" t="s">
        <v>87</v>
      </c>
      <c r="K5">
        <v>82.034300000000002</v>
      </c>
      <c r="L5" s="1">
        <v>0</v>
      </c>
      <c r="M5">
        <v>0</v>
      </c>
      <c r="N5">
        <v>1</v>
      </c>
      <c r="O5">
        <v>0</v>
      </c>
    </row>
    <row r="6" spans="1:15">
      <c r="A6" t="s">
        <v>40</v>
      </c>
      <c r="B6" s="2" t="s">
        <v>40</v>
      </c>
      <c r="C6" t="s">
        <v>13</v>
      </c>
      <c r="D6" t="s">
        <v>11</v>
      </c>
      <c r="E6">
        <v>2.5</v>
      </c>
      <c r="F6" s="1">
        <v>0</v>
      </c>
      <c r="G6" s="1">
        <v>2.5</v>
      </c>
      <c r="H6" s="1" t="s">
        <v>11</v>
      </c>
      <c r="I6" s="1" t="s">
        <v>11</v>
      </c>
      <c r="J6" t="s">
        <v>87</v>
      </c>
      <c r="K6">
        <v>164.04730000000001</v>
      </c>
      <c r="L6">
        <v>9</v>
      </c>
      <c r="M6">
        <v>0</v>
      </c>
      <c r="N6">
        <v>0</v>
      </c>
      <c r="O6">
        <v>0</v>
      </c>
    </row>
    <row r="7" spans="1:15">
      <c r="A7" t="s">
        <v>12</v>
      </c>
      <c r="B7" s="2" t="s">
        <v>12</v>
      </c>
      <c r="C7" s="1" t="s">
        <v>13</v>
      </c>
      <c r="D7" t="s">
        <v>11</v>
      </c>
      <c r="E7" s="1">
        <v>4</v>
      </c>
      <c r="F7" s="1">
        <v>0</v>
      </c>
      <c r="G7" s="1">
        <v>4</v>
      </c>
      <c r="H7" s="1" t="s">
        <v>11</v>
      </c>
      <c r="I7" s="1" t="s">
        <v>11</v>
      </c>
      <c r="J7" t="s">
        <v>87</v>
      </c>
      <c r="K7">
        <v>180.14599999999999</v>
      </c>
      <c r="L7" s="1">
        <v>6</v>
      </c>
      <c r="M7">
        <v>0</v>
      </c>
      <c r="N7">
        <v>0</v>
      </c>
      <c r="O7">
        <v>0</v>
      </c>
    </row>
    <row r="8" spans="1:15">
      <c r="A8" t="s">
        <v>14</v>
      </c>
      <c r="B8" s="2" t="s">
        <v>14</v>
      </c>
      <c r="C8" s="1" t="s">
        <v>13</v>
      </c>
      <c r="D8" t="s">
        <v>11</v>
      </c>
      <c r="E8" s="1">
        <v>4</v>
      </c>
      <c r="F8" s="1">
        <v>0</v>
      </c>
      <c r="G8" s="1">
        <v>4</v>
      </c>
      <c r="H8" s="1" t="s">
        <v>11</v>
      </c>
      <c r="I8" s="1" t="s">
        <v>11</v>
      </c>
      <c r="J8" t="s">
        <v>87</v>
      </c>
      <c r="K8">
        <v>258.06</v>
      </c>
      <c r="L8" s="1">
        <v>6</v>
      </c>
      <c r="M8">
        <v>0</v>
      </c>
      <c r="N8">
        <v>3</v>
      </c>
      <c r="O8">
        <v>0</v>
      </c>
    </row>
    <row r="9" spans="1:15">
      <c r="A9" t="s">
        <v>15</v>
      </c>
      <c r="B9" s="2" t="s">
        <v>15</v>
      </c>
      <c r="C9" s="1" t="s">
        <v>13</v>
      </c>
      <c r="D9" t="s">
        <v>11</v>
      </c>
      <c r="E9" s="1">
        <v>2</v>
      </c>
      <c r="F9" s="1">
        <v>0</v>
      </c>
      <c r="G9" s="1">
        <v>2</v>
      </c>
      <c r="H9" s="1" t="s">
        <v>11</v>
      </c>
      <c r="I9" s="1" t="s">
        <v>11</v>
      </c>
      <c r="J9" t="s">
        <v>87</v>
      </c>
      <c r="K9">
        <v>166.19</v>
      </c>
      <c r="L9" s="1">
        <v>8</v>
      </c>
      <c r="M9">
        <v>0</v>
      </c>
      <c r="N9">
        <v>2</v>
      </c>
      <c r="O9">
        <v>0</v>
      </c>
    </row>
    <row r="10" spans="1:15">
      <c r="A10" t="s">
        <v>16</v>
      </c>
      <c r="B10" s="2" t="s">
        <v>16</v>
      </c>
      <c r="C10" s="1" t="s">
        <v>13</v>
      </c>
      <c r="D10" t="s">
        <v>11</v>
      </c>
      <c r="E10" s="1">
        <v>12</v>
      </c>
      <c r="F10" s="1">
        <v>0</v>
      </c>
      <c r="G10" s="1">
        <v>12</v>
      </c>
      <c r="H10" s="1" t="s">
        <v>11</v>
      </c>
      <c r="I10" s="1" t="s">
        <v>11</v>
      </c>
      <c r="J10" t="s">
        <v>87</v>
      </c>
      <c r="K10">
        <v>82.034300000000002</v>
      </c>
      <c r="L10" s="1">
        <v>2</v>
      </c>
      <c r="M10">
        <v>0</v>
      </c>
      <c r="N10">
        <v>1</v>
      </c>
      <c r="O10">
        <v>0</v>
      </c>
    </row>
    <row r="11" spans="1:15">
      <c r="A11" t="s">
        <v>17</v>
      </c>
      <c r="B11" s="2" t="s">
        <v>17</v>
      </c>
      <c r="C11" s="1" t="s">
        <v>13</v>
      </c>
      <c r="D11" t="s">
        <v>11</v>
      </c>
      <c r="E11" s="1">
        <v>2.5</v>
      </c>
      <c r="F11" s="1">
        <v>0</v>
      </c>
      <c r="G11" s="1">
        <v>2.5</v>
      </c>
      <c r="H11" s="1" t="s">
        <v>11</v>
      </c>
      <c r="I11" s="1" t="s">
        <v>11</v>
      </c>
      <c r="J11" t="s">
        <v>87</v>
      </c>
      <c r="K11">
        <v>144.11000000000001</v>
      </c>
      <c r="L11" s="1">
        <v>7</v>
      </c>
      <c r="M11">
        <v>0</v>
      </c>
      <c r="N11">
        <v>1</v>
      </c>
      <c r="O11">
        <v>0</v>
      </c>
    </row>
    <row r="12" spans="1:15">
      <c r="A12" t="s">
        <v>103</v>
      </c>
      <c r="B12" t="s">
        <v>103</v>
      </c>
      <c r="C12" s="1" t="s">
        <v>13</v>
      </c>
      <c r="D12" t="s">
        <v>11</v>
      </c>
      <c r="E12" s="1">
        <v>4</v>
      </c>
      <c r="F12" s="1">
        <v>0</v>
      </c>
      <c r="G12" s="1">
        <v>4</v>
      </c>
      <c r="H12" s="1" t="s">
        <v>11</v>
      </c>
      <c r="I12" s="1" t="s">
        <v>11</v>
      </c>
      <c r="J12" t="s">
        <v>87</v>
      </c>
      <c r="K12">
        <v>150.13</v>
      </c>
      <c r="L12">
        <v>5</v>
      </c>
      <c r="M12">
        <v>5</v>
      </c>
      <c r="N12">
        <v>0</v>
      </c>
      <c r="O12">
        <v>0</v>
      </c>
    </row>
    <row r="13" spans="1:15">
      <c r="A13" t="s">
        <v>105</v>
      </c>
      <c r="B13" t="s">
        <v>105</v>
      </c>
      <c r="C13" s="1" t="s">
        <v>13</v>
      </c>
      <c r="D13" t="s">
        <v>11</v>
      </c>
      <c r="E13" s="1">
        <v>4</v>
      </c>
      <c r="F13" s="1">
        <v>0</v>
      </c>
      <c r="G13" s="1">
        <v>4</v>
      </c>
      <c r="H13" s="1" t="s">
        <v>11</v>
      </c>
      <c r="I13" s="1" t="s">
        <v>11</v>
      </c>
      <c r="J13" t="s">
        <v>87</v>
      </c>
      <c r="K13">
        <v>150.13</v>
      </c>
      <c r="L13">
        <v>5</v>
      </c>
      <c r="M13">
        <v>5</v>
      </c>
      <c r="N13">
        <v>0</v>
      </c>
      <c r="O13">
        <v>0</v>
      </c>
    </row>
    <row r="14" spans="1:15">
      <c r="A14" s="2" t="s">
        <v>20</v>
      </c>
      <c r="B14" s="2" t="s">
        <v>20</v>
      </c>
      <c r="C14" s="1" t="s">
        <v>13</v>
      </c>
      <c r="D14" t="s">
        <v>11</v>
      </c>
      <c r="E14" s="1">
        <v>0</v>
      </c>
      <c r="F14" s="1">
        <v>0</v>
      </c>
      <c r="G14" s="1">
        <v>250</v>
      </c>
      <c r="H14" s="1" t="s">
        <v>11</v>
      </c>
      <c r="I14" s="1" t="s">
        <v>11</v>
      </c>
      <c r="J14" t="s">
        <v>87</v>
      </c>
      <c r="K14">
        <v>58.44</v>
      </c>
      <c r="L14" s="1">
        <v>0</v>
      </c>
      <c r="M14">
        <v>0</v>
      </c>
      <c r="N14">
        <v>1</v>
      </c>
      <c r="O14">
        <v>1</v>
      </c>
    </row>
    <row r="15" spans="1:15">
      <c r="A15" s="2" t="s">
        <v>23</v>
      </c>
      <c r="B15" s="2" t="s">
        <v>23</v>
      </c>
      <c r="C15" s="1" t="s">
        <v>13</v>
      </c>
      <c r="D15" t="s">
        <v>11</v>
      </c>
      <c r="E15" s="1">
        <v>0.5</v>
      </c>
      <c r="F15" s="1">
        <v>0</v>
      </c>
      <c r="G15" s="1">
        <v>0.5</v>
      </c>
      <c r="H15" s="1" t="s">
        <v>11</v>
      </c>
      <c r="I15" s="1" t="s">
        <v>11</v>
      </c>
      <c r="J15" t="s">
        <v>87</v>
      </c>
      <c r="K15">
        <v>60.06</v>
      </c>
      <c r="L15" s="1">
        <v>1</v>
      </c>
      <c r="M15" s="1">
        <v>2</v>
      </c>
      <c r="N15">
        <v>0</v>
      </c>
      <c r="O15">
        <v>0</v>
      </c>
    </row>
    <row r="16" spans="1:15">
      <c r="A16" s="2" t="s">
        <v>24</v>
      </c>
      <c r="B16" s="2" t="s">
        <v>24</v>
      </c>
      <c r="C16" s="1" t="s">
        <v>13</v>
      </c>
      <c r="D16" t="s">
        <v>11</v>
      </c>
      <c r="E16" s="1">
        <v>1</v>
      </c>
      <c r="F16" s="1">
        <v>0</v>
      </c>
      <c r="G16" s="1">
        <v>1</v>
      </c>
      <c r="H16" s="1" t="s">
        <v>11</v>
      </c>
      <c r="I16" s="1" t="s">
        <v>11</v>
      </c>
      <c r="J16" t="s">
        <v>87</v>
      </c>
      <c r="K16">
        <v>53.491</v>
      </c>
      <c r="L16" s="1">
        <v>0</v>
      </c>
      <c r="M16" s="1">
        <v>1</v>
      </c>
      <c r="N16">
        <v>0</v>
      </c>
      <c r="O16">
        <v>1</v>
      </c>
    </row>
    <row r="17" spans="1:15">
      <c r="A17" t="s">
        <v>18</v>
      </c>
      <c r="B17" s="2" t="s">
        <v>18</v>
      </c>
      <c r="C17" s="1" t="s">
        <v>19</v>
      </c>
      <c r="D17" s="1">
        <v>3</v>
      </c>
      <c r="E17" s="1">
        <v>7</v>
      </c>
      <c r="F17" s="1">
        <v>5</v>
      </c>
      <c r="G17" s="1">
        <v>9</v>
      </c>
      <c r="H17" s="1" t="s">
        <v>11</v>
      </c>
      <c r="I17" s="1" t="s">
        <v>11</v>
      </c>
      <c r="J17" t="s">
        <v>18</v>
      </c>
      <c r="K17" s="1" t="s">
        <v>11</v>
      </c>
      <c r="L17" s="1">
        <v>0</v>
      </c>
      <c r="M17">
        <v>0</v>
      </c>
      <c r="N17">
        <v>0</v>
      </c>
      <c r="O17">
        <v>0</v>
      </c>
    </row>
    <row r="18" spans="1:15">
      <c r="A18" s="2" t="s">
        <v>11</v>
      </c>
      <c r="B18" s="2" t="s">
        <v>160</v>
      </c>
      <c r="C18" s="1" t="s">
        <v>85</v>
      </c>
      <c r="D18" s="1" t="s">
        <v>11</v>
      </c>
      <c r="E18" s="2">
        <v>60</v>
      </c>
      <c r="F18" s="1">
        <v>60</v>
      </c>
      <c r="G18" s="1">
        <v>60</v>
      </c>
      <c r="H18" s="1">
        <v>1</v>
      </c>
      <c r="I18" s="1">
        <v>1</v>
      </c>
      <c r="J18" s="1" t="s">
        <v>87</v>
      </c>
      <c r="K18" s="1" t="s">
        <v>11</v>
      </c>
      <c r="L18" s="1">
        <v>0</v>
      </c>
      <c r="M18">
        <v>0</v>
      </c>
      <c r="N18" s="1">
        <v>0</v>
      </c>
      <c r="O18" s="1">
        <v>0</v>
      </c>
    </row>
    <row r="19" spans="1:15">
      <c r="A19" s="2" t="s">
        <v>145</v>
      </c>
      <c r="B19" s="2" t="s">
        <v>141</v>
      </c>
      <c r="C19" s="1" t="s">
        <v>109</v>
      </c>
      <c r="D19" s="1" t="s">
        <v>11</v>
      </c>
      <c r="E19" s="2">
        <v>9.1999999999999993</v>
      </c>
      <c r="F19" s="1">
        <v>9.1999999999999993</v>
      </c>
      <c r="G19" s="1">
        <v>9.1999999999999993</v>
      </c>
      <c r="H19" s="1">
        <v>2</v>
      </c>
      <c r="I19" s="1">
        <v>18.399999999999999</v>
      </c>
      <c r="J19" s="1" t="s">
        <v>87</v>
      </c>
      <c r="K19">
        <v>174.2</v>
      </c>
      <c r="L19">
        <v>0</v>
      </c>
      <c r="M19">
        <v>0</v>
      </c>
      <c r="N19" s="1">
        <v>0</v>
      </c>
      <c r="O19" s="1">
        <v>0</v>
      </c>
    </row>
    <row r="20" spans="1:15">
      <c r="A20" s="2" t="s">
        <v>145</v>
      </c>
      <c r="B20" s="2" t="s">
        <v>20</v>
      </c>
      <c r="C20" s="1" t="s">
        <v>109</v>
      </c>
      <c r="D20" s="1" t="s">
        <v>11</v>
      </c>
      <c r="E20" s="2">
        <v>4.3</v>
      </c>
      <c r="F20" s="1">
        <v>4.3</v>
      </c>
      <c r="G20" s="1">
        <v>4.3</v>
      </c>
      <c r="H20" s="1">
        <v>2</v>
      </c>
      <c r="I20" s="1">
        <v>8.6</v>
      </c>
      <c r="J20" s="1" t="s">
        <v>87</v>
      </c>
      <c r="K20">
        <v>58.44</v>
      </c>
      <c r="L20">
        <v>0</v>
      </c>
      <c r="M20">
        <v>0</v>
      </c>
      <c r="N20" s="1">
        <v>0</v>
      </c>
      <c r="O20" s="1">
        <v>1</v>
      </c>
    </row>
    <row r="21" spans="1:15">
      <c r="A21" s="2" t="s">
        <v>145</v>
      </c>
      <c r="B21" s="2" t="s">
        <v>142</v>
      </c>
      <c r="C21" s="1" t="s">
        <v>109</v>
      </c>
      <c r="D21" s="1" t="s">
        <v>11</v>
      </c>
      <c r="E21" s="2">
        <v>0.41</v>
      </c>
      <c r="F21" s="1">
        <v>0.41</v>
      </c>
      <c r="G21" s="1">
        <v>0.41</v>
      </c>
      <c r="H21" s="1">
        <v>2</v>
      </c>
      <c r="I21" s="1">
        <v>0.82</v>
      </c>
      <c r="J21" s="1" t="s">
        <v>87</v>
      </c>
      <c r="K21" s="64">
        <v>246.47</v>
      </c>
      <c r="L21">
        <v>0</v>
      </c>
      <c r="M21">
        <v>0</v>
      </c>
      <c r="N21" s="1">
        <v>0</v>
      </c>
      <c r="O21" s="1">
        <v>0</v>
      </c>
    </row>
    <row r="22" spans="1:15">
      <c r="A22" s="2" t="s">
        <v>145</v>
      </c>
      <c r="B22" s="2" t="s">
        <v>143</v>
      </c>
      <c r="C22" s="1" t="s">
        <v>109</v>
      </c>
      <c r="D22" s="1" t="s">
        <v>11</v>
      </c>
      <c r="E22" s="2">
        <v>6.8000000000000005E-2</v>
      </c>
      <c r="F22" s="1">
        <v>6.8000000000000005E-2</v>
      </c>
      <c r="G22" s="1">
        <v>6.8000000000000005E-2</v>
      </c>
      <c r="H22" s="1">
        <v>2</v>
      </c>
      <c r="I22" s="1">
        <v>0.13600000000000001</v>
      </c>
      <c r="J22" s="1" t="s">
        <v>87</v>
      </c>
      <c r="K22">
        <v>147.01</v>
      </c>
      <c r="L22">
        <v>0</v>
      </c>
      <c r="M22">
        <v>0</v>
      </c>
      <c r="N22">
        <v>0</v>
      </c>
      <c r="O22">
        <v>2</v>
      </c>
    </row>
    <row r="23" spans="1:15">
      <c r="A23" s="2" t="s">
        <v>145</v>
      </c>
      <c r="B23" s="2" t="s">
        <v>144</v>
      </c>
      <c r="C23" s="1" t="s">
        <v>109</v>
      </c>
      <c r="D23" s="1" t="s">
        <v>11</v>
      </c>
      <c r="E23" s="2">
        <v>20</v>
      </c>
      <c r="F23" s="1">
        <v>20</v>
      </c>
      <c r="G23" s="1">
        <v>20</v>
      </c>
      <c r="H23" s="1">
        <v>2</v>
      </c>
      <c r="I23" s="1">
        <v>40</v>
      </c>
      <c r="J23" s="1" t="s">
        <v>87</v>
      </c>
      <c r="K23" s="1" t="s">
        <v>11</v>
      </c>
      <c r="L23">
        <v>0</v>
      </c>
      <c r="M23">
        <v>0</v>
      </c>
      <c r="N23">
        <v>0</v>
      </c>
      <c r="O23">
        <v>0</v>
      </c>
    </row>
    <row r="24" spans="1:15">
      <c r="A24" s="2" t="s">
        <v>145</v>
      </c>
      <c r="B24" s="2" t="s">
        <v>146</v>
      </c>
      <c r="C24" s="1" t="s">
        <v>109</v>
      </c>
      <c r="D24" s="1" t="s">
        <v>11</v>
      </c>
      <c r="E24" s="2">
        <v>1.31</v>
      </c>
      <c r="F24" s="1">
        <v>1.31</v>
      </c>
      <c r="G24" s="1">
        <v>1.31</v>
      </c>
      <c r="H24" s="1">
        <v>2</v>
      </c>
      <c r="I24" s="1">
        <v>2.62</v>
      </c>
      <c r="J24" s="1" t="s">
        <v>87</v>
      </c>
      <c r="K24" s="1">
        <v>380.17</v>
      </c>
      <c r="L24">
        <v>0</v>
      </c>
      <c r="M24">
        <v>0</v>
      </c>
      <c r="N24" s="1">
        <v>4</v>
      </c>
      <c r="O24" s="1">
        <v>0</v>
      </c>
    </row>
    <row r="25" spans="1:15">
      <c r="A25" s="2" t="s">
        <v>145</v>
      </c>
      <c r="B25" s="2" t="s">
        <v>147</v>
      </c>
      <c r="C25" s="1" t="s">
        <v>109</v>
      </c>
      <c r="D25" s="1" t="s">
        <v>11</v>
      </c>
      <c r="E25" s="2">
        <v>12.2</v>
      </c>
      <c r="F25" s="2">
        <v>12.2</v>
      </c>
      <c r="G25" s="2">
        <v>12.2</v>
      </c>
      <c r="H25">
        <v>2</v>
      </c>
      <c r="I25" s="1">
        <v>24.4</v>
      </c>
      <c r="J25" t="s">
        <v>87</v>
      </c>
      <c r="K25" s="1">
        <v>162.19999999999999</v>
      </c>
      <c r="L25">
        <v>0</v>
      </c>
      <c r="M25">
        <v>0</v>
      </c>
      <c r="N25" s="1">
        <v>0</v>
      </c>
      <c r="O25" s="1">
        <v>3</v>
      </c>
    </row>
    <row r="26" spans="1:15">
      <c r="A26" s="2" t="s">
        <v>145</v>
      </c>
      <c r="B26" s="2" t="s">
        <v>151</v>
      </c>
      <c r="C26" s="1" t="s">
        <v>109</v>
      </c>
      <c r="D26" s="1" t="s">
        <v>11</v>
      </c>
      <c r="E26" s="2">
        <v>0.80800000000000005</v>
      </c>
      <c r="F26" s="2">
        <v>0.80800000000000005</v>
      </c>
      <c r="G26" s="2">
        <v>0.80800000000000005</v>
      </c>
      <c r="H26">
        <v>2</v>
      </c>
      <c r="I26" s="1">
        <v>1.6160000000000001</v>
      </c>
      <c r="J26" t="s">
        <v>87</v>
      </c>
      <c r="K26">
        <v>61.84</v>
      </c>
      <c r="L26">
        <v>0</v>
      </c>
      <c r="M26">
        <v>0</v>
      </c>
      <c r="N26" s="1">
        <v>0</v>
      </c>
      <c r="O26" s="1">
        <v>0</v>
      </c>
    </row>
    <row r="27" spans="1:15">
      <c r="A27" s="2" t="s">
        <v>145</v>
      </c>
      <c r="B27" s="2" t="s">
        <v>148</v>
      </c>
      <c r="C27" s="1" t="s">
        <v>109</v>
      </c>
      <c r="D27" s="1" t="s">
        <v>11</v>
      </c>
      <c r="E27" s="2">
        <v>0.36699999999999999</v>
      </c>
      <c r="F27" s="2">
        <v>0.36699999999999999</v>
      </c>
      <c r="G27" s="2">
        <v>0.36699999999999999</v>
      </c>
      <c r="H27">
        <v>2</v>
      </c>
      <c r="I27" s="1">
        <v>0.73399999999999999</v>
      </c>
      <c r="J27" t="s">
        <v>87</v>
      </c>
      <c r="K27" s="1">
        <v>136.315</v>
      </c>
      <c r="L27">
        <v>0</v>
      </c>
      <c r="M27">
        <v>0</v>
      </c>
      <c r="N27">
        <v>0</v>
      </c>
      <c r="O27">
        <v>2</v>
      </c>
    </row>
    <row r="28" spans="1:15">
      <c r="A28" s="2" t="s">
        <v>145</v>
      </c>
      <c r="B28" s="2" t="s">
        <v>149</v>
      </c>
      <c r="C28" s="1" t="s">
        <v>109</v>
      </c>
      <c r="D28" s="1" t="s">
        <v>11</v>
      </c>
      <c r="E28" s="2">
        <v>0.17599999999999999</v>
      </c>
      <c r="F28" s="2">
        <v>0.17599999999999999</v>
      </c>
      <c r="G28" s="2">
        <v>0.17599999999999999</v>
      </c>
      <c r="H28">
        <v>2</v>
      </c>
      <c r="I28" s="1">
        <v>0.35199999999999998</v>
      </c>
      <c r="J28" t="s">
        <v>87</v>
      </c>
      <c r="K28" s="1">
        <v>170.48</v>
      </c>
      <c r="L28">
        <v>0</v>
      </c>
      <c r="M28">
        <v>0</v>
      </c>
      <c r="N28">
        <v>0</v>
      </c>
      <c r="O28">
        <v>2</v>
      </c>
    </row>
    <row r="29" spans="1:15">
      <c r="A29" s="2" t="s">
        <v>145</v>
      </c>
      <c r="B29" s="2" t="s">
        <v>150</v>
      </c>
      <c r="C29" s="1" t="s">
        <v>109</v>
      </c>
      <c r="D29" s="1" t="s">
        <v>11</v>
      </c>
      <c r="E29" s="2">
        <v>0.253</v>
      </c>
      <c r="F29" s="2">
        <v>0.253</v>
      </c>
      <c r="G29" s="2">
        <v>0.253</v>
      </c>
      <c r="H29">
        <v>2</v>
      </c>
      <c r="I29" s="1">
        <v>0.50600000000000001</v>
      </c>
      <c r="J29" t="s">
        <v>87</v>
      </c>
      <c r="K29" s="1">
        <v>197.91</v>
      </c>
      <c r="L29">
        <v>0</v>
      </c>
      <c r="M29">
        <v>0</v>
      </c>
      <c r="N29">
        <v>0</v>
      </c>
      <c r="O29">
        <v>2</v>
      </c>
    </row>
    <row r="30" spans="1:15">
      <c r="A30" s="2" t="s">
        <v>145</v>
      </c>
      <c r="B30" s="2" t="s">
        <v>152</v>
      </c>
      <c r="C30" s="1" t="s">
        <v>109</v>
      </c>
      <c r="D30" s="1" t="s">
        <v>11</v>
      </c>
      <c r="E30" s="2">
        <v>0.255</v>
      </c>
      <c r="F30" s="2">
        <v>0.255</v>
      </c>
      <c r="G30" s="2">
        <v>0.255</v>
      </c>
      <c r="H30">
        <v>2</v>
      </c>
      <c r="I30" s="1">
        <v>0.51</v>
      </c>
      <c r="J30" t="s">
        <v>87</v>
      </c>
      <c r="K30" s="1">
        <v>196.01</v>
      </c>
      <c r="L30">
        <v>0</v>
      </c>
      <c r="M30">
        <v>8</v>
      </c>
      <c r="N30">
        <v>0</v>
      </c>
      <c r="O30">
        <v>0</v>
      </c>
    </row>
    <row r="31" spans="1:15">
      <c r="A31" s="2" t="s">
        <v>145</v>
      </c>
      <c r="B31" s="2" t="s">
        <v>154</v>
      </c>
      <c r="C31" s="1" t="s">
        <v>109</v>
      </c>
      <c r="D31" s="1" t="s">
        <v>11</v>
      </c>
      <c r="E31" s="2">
        <v>0.21</v>
      </c>
      <c r="F31" s="2">
        <v>0.21</v>
      </c>
      <c r="G31" s="2">
        <v>0.21</v>
      </c>
      <c r="H31">
        <v>2</v>
      </c>
      <c r="I31" s="1">
        <v>0.42</v>
      </c>
      <c r="J31" t="s">
        <v>87</v>
      </c>
      <c r="K31" s="1">
        <v>237.93</v>
      </c>
      <c r="L31">
        <v>0</v>
      </c>
      <c r="M31">
        <v>0</v>
      </c>
      <c r="N31">
        <v>0</v>
      </c>
      <c r="O31">
        <v>2</v>
      </c>
    </row>
    <row r="32" spans="1:15">
      <c r="A32" s="2" t="s">
        <v>145</v>
      </c>
      <c r="B32" s="2" t="s">
        <v>153</v>
      </c>
      <c r="C32" s="1" t="s">
        <v>109</v>
      </c>
      <c r="D32" s="1" t="s">
        <v>11</v>
      </c>
      <c r="E32" s="2">
        <v>0.21</v>
      </c>
      <c r="F32" s="2">
        <v>0.21</v>
      </c>
      <c r="G32" s="2">
        <v>0.21</v>
      </c>
      <c r="H32">
        <v>2</v>
      </c>
      <c r="I32" s="1">
        <v>0.42</v>
      </c>
      <c r="J32" t="s">
        <v>87</v>
      </c>
      <c r="K32" s="1">
        <v>237.69</v>
      </c>
      <c r="L32">
        <v>0</v>
      </c>
      <c r="M32">
        <v>0</v>
      </c>
      <c r="N32">
        <v>0</v>
      </c>
      <c r="O32">
        <v>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84B6-22CA-6B4D-B222-499CA5C998C2}">
  <dimension ref="A1:Z44"/>
  <sheetViews>
    <sheetView workbookViewId="0">
      <selection activeCell="K13" sqref="K13"/>
    </sheetView>
  </sheetViews>
  <sheetFormatPr baseColWidth="10" defaultRowHeight="16"/>
  <cols>
    <col min="1" max="1" width="19.42578125" customWidth="1"/>
    <col min="3" max="3" width="11.5703125" bestFit="1" customWidth="1"/>
    <col min="4" max="4" width="11.5703125" customWidth="1"/>
    <col min="5" max="5" width="6.85546875" bestFit="1" customWidth="1"/>
    <col min="6" max="7" width="11.5703125" bestFit="1" customWidth="1"/>
    <col min="8" max="8" width="11.7109375" bestFit="1" customWidth="1"/>
    <col min="9" max="10" width="11.7109375" customWidth="1"/>
    <col min="11" max="11" width="13.42578125" bestFit="1" customWidth="1"/>
    <col min="12" max="12" width="13.42578125" customWidth="1"/>
    <col min="13" max="14" width="13.5703125" customWidth="1"/>
    <col min="15" max="16" width="16.140625" customWidth="1"/>
    <col min="17" max="24" width="6.7109375" customWidth="1"/>
  </cols>
  <sheetData>
    <row r="1" spans="1:26" s="8" customFormat="1" ht="68">
      <c r="A1" s="34" t="s">
        <v>0</v>
      </c>
      <c r="B1" s="35" t="s">
        <v>25</v>
      </c>
      <c r="C1" s="36" t="s">
        <v>129</v>
      </c>
      <c r="D1" s="37" t="s">
        <v>130</v>
      </c>
      <c r="E1" s="37" t="s">
        <v>108</v>
      </c>
      <c r="F1" s="35" t="s">
        <v>110</v>
      </c>
      <c r="G1" s="36" t="s">
        <v>111</v>
      </c>
      <c r="H1" s="37" t="s">
        <v>132</v>
      </c>
      <c r="I1" s="35" t="s">
        <v>131</v>
      </c>
      <c r="J1" s="36" t="s">
        <v>122</v>
      </c>
      <c r="K1" s="37" t="s">
        <v>125</v>
      </c>
      <c r="L1" s="35" t="s">
        <v>124</v>
      </c>
      <c r="M1" s="57" t="s">
        <v>133</v>
      </c>
      <c r="N1" s="46" t="s">
        <v>134</v>
      </c>
      <c r="O1" s="49" t="s">
        <v>127</v>
      </c>
      <c r="P1" s="48" t="s">
        <v>123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</row>
    <row r="2" spans="1:26">
      <c r="A2" s="27" t="s">
        <v>40</v>
      </c>
      <c r="B2" s="28">
        <v>164.04730000000001</v>
      </c>
      <c r="C2" s="31">
        <v>2.5</v>
      </c>
      <c r="D2">
        <f t="shared" ref="D2:D11" si="0">C2/B$22</f>
        <v>0.25</v>
      </c>
      <c r="E2">
        <v>20</v>
      </c>
      <c r="F2" s="28">
        <f>C2*E2</f>
        <v>50</v>
      </c>
      <c r="G2" s="38">
        <f t="shared" ref="G2:G20" si="1">B2*F2 / 1000</f>
        <v>8.2023650000000004</v>
      </c>
      <c r="H2" s="53">
        <f t="shared" ref="H2:H20" si="2">(C2* B$21) / F2</f>
        <v>10</v>
      </c>
      <c r="I2" s="42">
        <f t="shared" ref="I2:I20" si="3">(D2* B$21) / F2</f>
        <v>1</v>
      </c>
      <c r="J2" s="40">
        <v>50</v>
      </c>
      <c r="K2" s="59">
        <f>ROUND(G2 * (J2/1000), 2)</f>
        <v>0.41</v>
      </c>
      <c r="L2" s="61"/>
      <c r="M2" s="38">
        <f t="shared" ref="M2:M18" si="4">(C2* B$21) / (K2 * (1000/J2) * (1/B2) * 1000)</f>
        <v>10.002884146341465</v>
      </c>
      <c r="N2" s="45">
        <f t="shared" ref="N2:N18" si="5">(D2* B$21) / (K2 * (1000/J2) * (1/B2) * 1000)</f>
        <v>1.0002884146341464</v>
      </c>
      <c r="O2" s="50">
        <f>ROUND(M2, 0) / M2</f>
        <v>0.99971166852487037</v>
      </c>
      <c r="P2" s="52">
        <f t="shared" ref="P2:P11" si="6">(J2 * 1000) / _xlfn.IFNA(ROUND(M2, 1), H2)</f>
        <v>5000</v>
      </c>
      <c r="Q2">
        <v>9</v>
      </c>
      <c r="R2">
        <v>8</v>
      </c>
      <c r="S2">
        <v>0</v>
      </c>
      <c r="T2">
        <v>3</v>
      </c>
      <c r="U2">
        <v>0</v>
      </c>
      <c r="V2">
        <v>0</v>
      </c>
      <c r="W2">
        <f t="shared" ref="W2:W18" si="7">IF(Q2 &gt; 0, 4-((4*Q2+R2-3*S2-2*T2+5*U2-2*V2)/Q2), NA())</f>
        <v>-0.22222222222222232</v>
      </c>
      <c r="X2">
        <v>0</v>
      </c>
      <c r="Y2">
        <v>0</v>
      </c>
      <c r="Z2">
        <v>0</v>
      </c>
    </row>
    <row r="3" spans="1:26">
      <c r="A3" s="27" t="s">
        <v>15</v>
      </c>
      <c r="B3" s="28">
        <v>166.19</v>
      </c>
      <c r="C3" s="31">
        <v>2</v>
      </c>
      <c r="D3">
        <f t="shared" si="0"/>
        <v>0.2</v>
      </c>
      <c r="E3">
        <v>20</v>
      </c>
      <c r="F3" s="28">
        <f t="shared" ref="F3:F20" si="8">C3*E3</f>
        <v>40</v>
      </c>
      <c r="G3" s="38">
        <f t="shared" si="1"/>
        <v>6.6476000000000006</v>
      </c>
      <c r="H3" s="53">
        <f t="shared" si="2"/>
        <v>10</v>
      </c>
      <c r="I3" s="42">
        <f t="shared" si="3"/>
        <v>1</v>
      </c>
      <c r="J3" s="40">
        <v>50</v>
      </c>
      <c r="K3" s="59">
        <f t="shared" ref="K3:K20" si="9">ROUND(G3 * (J3/1000), 2)</f>
        <v>0.33</v>
      </c>
      <c r="L3" s="61"/>
      <c r="M3" s="38">
        <f t="shared" si="4"/>
        <v>10.07212121212121</v>
      </c>
      <c r="N3" s="45">
        <f t="shared" si="5"/>
        <v>1.007212121212121</v>
      </c>
      <c r="O3" s="50">
        <f t="shared" ref="O3:O20" si="10">ROUND(M3, 0) / M3</f>
        <v>0.99283952103014639</v>
      </c>
      <c r="P3" s="52">
        <f t="shared" si="6"/>
        <v>4950.4950495049507</v>
      </c>
      <c r="Q3">
        <v>8</v>
      </c>
      <c r="R3">
        <v>15</v>
      </c>
      <c r="S3">
        <v>0</v>
      </c>
      <c r="T3">
        <v>2</v>
      </c>
      <c r="U3">
        <v>0</v>
      </c>
      <c r="V3">
        <v>0</v>
      </c>
      <c r="W3">
        <f t="shared" si="7"/>
        <v>-1.375</v>
      </c>
      <c r="X3">
        <v>1</v>
      </c>
      <c r="Y3">
        <v>0</v>
      </c>
      <c r="Z3">
        <v>0</v>
      </c>
    </row>
    <row r="4" spans="1:26">
      <c r="A4" s="27" t="s">
        <v>17</v>
      </c>
      <c r="B4" s="28">
        <v>144.11000000000001</v>
      </c>
      <c r="C4" s="31">
        <v>2.5</v>
      </c>
      <c r="D4">
        <f t="shared" si="0"/>
        <v>0.25</v>
      </c>
      <c r="E4">
        <v>20</v>
      </c>
      <c r="F4" s="28">
        <f t="shared" si="8"/>
        <v>50</v>
      </c>
      <c r="G4" s="38">
        <f t="shared" si="1"/>
        <v>7.2055000000000007</v>
      </c>
      <c r="H4" s="53">
        <f t="shared" si="2"/>
        <v>10</v>
      </c>
      <c r="I4" s="42">
        <f t="shared" si="3"/>
        <v>1</v>
      </c>
      <c r="J4" s="40">
        <v>50</v>
      </c>
      <c r="K4" s="59">
        <f t="shared" si="9"/>
        <v>0.36</v>
      </c>
      <c r="L4" s="61"/>
      <c r="M4" s="38">
        <f t="shared" si="4"/>
        <v>10.00763888888889</v>
      </c>
      <c r="N4" s="45">
        <f t="shared" si="5"/>
        <v>1.000763888888889</v>
      </c>
      <c r="O4" s="50">
        <f t="shared" si="10"/>
        <v>0.99923669419193661</v>
      </c>
      <c r="P4" s="52">
        <f t="shared" si="6"/>
        <v>5000</v>
      </c>
      <c r="Q4">
        <v>7</v>
      </c>
      <c r="R4">
        <v>5</v>
      </c>
      <c r="S4">
        <v>0</v>
      </c>
      <c r="T4">
        <v>2</v>
      </c>
      <c r="U4">
        <v>0</v>
      </c>
      <c r="V4">
        <v>0</v>
      </c>
      <c r="W4">
        <f t="shared" si="7"/>
        <v>-0.14285714285714324</v>
      </c>
      <c r="X4">
        <v>1</v>
      </c>
      <c r="Y4">
        <v>0</v>
      </c>
      <c r="Z4">
        <v>0</v>
      </c>
    </row>
    <row r="5" spans="1:26">
      <c r="A5" s="27" t="s">
        <v>12</v>
      </c>
      <c r="B5" s="28">
        <v>180.14599999999999</v>
      </c>
      <c r="C5" s="31">
        <v>4</v>
      </c>
      <c r="D5">
        <f t="shared" si="0"/>
        <v>0.4</v>
      </c>
      <c r="E5">
        <v>10</v>
      </c>
      <c r="F5" s="28">
        <f t="shared" si="8"/>
        <v>40</v>
      </c>
      <c r="G5" s="38">
        <f t="shared" si="1"/>
        <v>7.2058399999999994</v>
      </c>
      <c r="H5" s="53">
        <f t="shared" si="2"/>
        <v>20</v>
      </c>
      <c r="I5" s="42">
        <f t="shared" si="3"/>
        <v>2</v>
      </c>
      <c r="J5" s="40">
        <v>50</v>
      </c>
      <c r="K5" s="59">
        <f t="shared" si="9"/>
        <v>0.36</v>
      </c>
      <c r="L5" s="61"/>
      <c r="M5" s="38">
        <f t="shared" si="4"/>
        <v>20.016222222222222</v>
      </c>
      <c r="N5" s="45">
        <f t="shared" si="5"/>
        <v>2.0016222222222222</v>
      </c>
      <c r="O5" s="50">
        <f t="shared" si="10"/>
        <v>0.99918954625692491</v>
      </c>
      <c r="P5" s="52">
        <f t="shared" si="6"/>
        <v>2500</v>
      </c>
      <c r="Q5">
        <v>6</v>
      </c>
      <c r="R5">
        <v>12</v>
      </c>
      <c r="S5">
        <v>0</v>
      </c>
      <c r="T5">
        <v>6</v>
      </c>
      <c r="U5">
        <v>0</v>
      </c>
      <c r="V5">
        <v>0</v>
      </c>
      <c r="W5">
        <f t="shared" si="7"/>
        <v>0</v>
      </c>
      <c r="X5">
        <v>0</v>
      </c>
      <c r="Y5">
        <v>0</v>
      </c>
      <c r="Z5">
        <v>0</v>
      </c>
    </row>
    <row r="6" spans="1:26">
      <c r="A6" s="27" t="s">
        <v>14</v>
      </c>
      <c r="B6" s="28">
        <v>258.06</v>
      </c>
      <c r="C6" s="31">
        <v>10</v>
      </c>
      <c r="D6">
        <f t="shared" si="0"/>
        <v>1</v>
      </c>
      <c r="E6">
        <v>20</v>
      </c>
      <c r="F6" s="28">
        <f t="shared" si="8"/>
        <v>200</v>
      </c>
      <c r="G6" s="38">
        <f t="shared" si="1"/>
        <v>51.612000000000002</v>
      </c>
      <c r="H6" s="53">
        <f t="shared" si="2"/>
        <v>10</v>
      </c>
      <c r="I6" s="42">
        <f t="shared" si="3"/>
        <v>1</v>
      </c>
      <c r="J6" s="40">
        <v>50</v>
      </c>
      <c r="K6" s="59">
        <f t="shared" si="9"/>
        <v>2.58</v>
      </c>
      <c r="L6" s="61"/>
      <c r="M6" s="38">
        <f t="shared" si="4"/>
        <v>10.002325581395349</v>
      </c>
      <c r="N6" s="45">
        <f t="shared" si="5"/>
        <v>1.000232558139535</v>
      </c>
      <c r="O6" s="50">
        <f t="shared" si="10"/>
        <v>0.99976749593117886</v>
      </c>
      <c r="P6" s="52">
        <f t="shared" si="6"/>
        <v>5000</v>
      </c>
      <c r="Q6">
        <v>6</v>
      </c>
      <c r="R6">
        <v>5</v>
      </c>
      <c r="S6">
        <v>0</v>
      </c>
      <c r="T6">
        <v>7</v>
      </c>
      <c r="U6">
        <v>0</v>
      </c>
      <c r="V6">
        <v>0</v>
      </c>
      <c r="W6">
        <f t="shared" si="7"/>
        <v>1.5</v>
      </c>
      <c r="X6">
        <v>3</v>
      </c>
      <c r="Y6">
        <v>0</v>
      </c>
      <c r="Z6">
        <v>0</v>
      </c>
    </row>
    <row r="7" spans="1:26">
      <c r="A7" s="27" t="s">
        <v>16</v>
      </c>
      <c r="B7" s="28">
        <v>82.034300000000002</v>
      </c>
      <c r="C7" s="31">
        <v>12</v>
      </c>
      <c r="D7">
        <f t="shared" si="0"/>
        <v>1.2</v>
      </c>
      <c r="E7">
        <v>20</v>
      </c>
      <c r="F7" s="28">
        <f t="shared" si="8"/>
        <v>240</v>
      </c>
      <c r="G7" s="38">
        <f t="shared" si="1"/>
        <v>19.688231999999999</v>
      </c>
      <c r="H7" s="53">
        <f t="shared" si="2"/>
        <v>10</v>
      </c>
      <c r="I7" s="42">
        <f t="shared" si="3"/>
        <v>1</v>
      </c>
      <c r="J7" s="40">
        <v>50</v>
      </c>
      <c r="K7" s="59">
        <f t="shared" si="9"/>
        <v>0.98</v>
      </c>
      <c r="L7" s="61"/>
      <c r="M7" s="38">
        <f t="shared" si="4"/>
        <v>10.045016326530613</v>
      </c>
      <c r="N7" s="45">
        <f t="shared" si="5"/>
        <v>1.0045016326530611</v>
      </c>
      <c r="O7" s="50">
        <f t="shared" si="10"/>
        <v>0.9955185412280797</v>
      </c>
      <c r="P7" s="52">
        <f t="shared" si="6"/>
        <v>5000</v>
      </c>
      <c r="Q7">
        <v>2</v>
      </c>
      <c r="R7">
        <v>3</v>
      </c>
      <c r="S7">
        <v>0</v>
      </c>
      <c r="T7">
        <v>2</v>
      </c>
      <c r="U7">
        <v>0</v>
      </c>
      <c r="V7">
        <v>0</v>
      </c>
      <c r="W7">
        <f t="shared" si="7"/>
        <v>0.5</v>
      </c>
      <c r="X7">
        <v>1</v>
      </c>
      <c r="Y7">
        <v>0</v>
      </c>
      <c r="Z7">
        <v>0</v>
      </c>
    </row>
    <row r="8" spans="1:26">
      <c r="A8" s="27" t="s">
        <v>103</v>
      </c>
      <c r="B8" s="28">
        <v>150.13</v>
      </c>
      <c r="C8" s="31">
        <v>10</v>
      </c>
      <c r="D8">
        <f t="shared" si="0"/>
        <v>1</v>
      </c>
      <c r="E8">
        <v>20</v>
      </c>
      <c r="F8" s="28">
        <f t="shared" si="8"/>
        <v>200</v>
      </c>
      <c r="G8" s="38">
        <f t="shared" si="1"/>
        <v>30.026</v>
      </c>
      <c r="H8" s="53">
        <f t="shared" si="2"/>
        <v>10</v>
      </c>
      <c r="I8" s="42">
        <f t="shared" si="3"/>
        <v>1</v>
      </c>
      <c r="J8" s="40">
        <v>50</v>
      </c>
      <c r="K8" s="59">
        <f t="shared" si="9"/>
        <v>1.5</v>
      </c>
      <c r="L8" s="61"/>
      <c r="M8" s="38">
        <f t="shared" si="4"/>
        <v>10.008666666666667</v>
      </c>
      <c r="N8" s="45">
        <f t="shared" si="5"/>
        <v>1.0008666666666666</v>
      </c>
      <c r="O8" s="50">
        <f t="shared" si="10"/>
        <v>0.99913408379404511</v>
      </c>
      <c r="P8" s="52">
        <f t="shared" si="6"/>
        <v>5000</v>
      </c>
      <c r="Q8">
        <v>5</v>
      </c>
      <c r="R8">
        <v>10</v>
      </c>
      <c r="S8">
        <v>5</v>
      </c>
      <c r="T8">
        <v>0</v>
      </c>
      <c r="U8">
        <v>0</v>
      </c>
      <c r="V8">
        <v>0</v>
      </c>
      <c r="W8">
        <f t="shared" si="7"/>
        <v>1</v>
      </c>
      <c r="X8">
        <v>0</v>
      </c>
      <c r="Y8">
        <v>0</v>
      </c>
      <c r="Z8">
        <v>0</v>
      </c>
    </row>
    <row r="9" spans="1:26">
      <c r="A9" s="27" t="s">
        <v>104</v>
      </c>
      <c r="B9" s="28">
        <v>180.16</v>
      </c>
      <c r="C9" s="31">
        <v>10</v>
      </c>
      <c r="D9">
        <f t="shared" si="0"/>
        <v>1</v>
      </c>
      <c r="E9">
        <v>20</v>
      </c>
      <c r="F9" s="28">
        <f t="shared" si="8"/>
        <v>200</v>
      </c>
      <c r="G9" s="38">
        <f t="shared" si="1"/>
        <v>36.031999999999996</v>
      </c>
      <c r="H9" s="53">
        <f t="shared" si="2"/>
        <v>10</v>
      </c>
      <c r="I9" s="42">
        <f t="shared" si="3"/>
        <v>1</v>
      </c>
      <c r="J9" s="40">
        <v>50</v>
      </c>
      <c r="K9" s="59">
        <f t="shared" si="9"/>
        <v>1.8</v>
      </c>
      <c r="L9" s="61"/>
      <c r="M9" s="38">
        <f t="shared" si="4"/>
        <v>10.008888888888889</v>
      </c>
      <c r="N9" s="45">
        <f t="shared" si="5"/>
        <v>1.0008888888888889</v>
      </c>
      <c r="O9" s="50">
        <f t="shared" si="10"/>
        <v>0.9991119005328597</v>
      </c>
      <c r="P9" s="52">
        <f t="shared" si="6"/>
        <v>5000</v>
      </c>
      <c r="Q9">
        <v>6</v>
      </c>
      <c r="R9">
        <v>12</v>
      </c>
      <c r="S9">
        <v>6</v>
      </c>
      <c r="T9">
        <v>0</v>
      </c>
      <c r="U9">
        <v>0</v>
      </c>
      <c r="V9">
        <v>0</v>
      </c>
      <c r="W9">
        <f t="shared" si="7"/>
        <v>1</v>
      </c>
      <c r="X9">
        <v>0</v>
      </c>
      <c r="Y9">
        <v>0</v>
      </c>
      <c r="Z9">
        <v>0</v>
      </c>
    </row>
    <row r="10" spans="1:26">
      <c r="A10" s="27" t="s">
        <v>105</v>
      </c>
      <c r="B10" s="28">
        <v>150.13</v>
      </c>
      <c r="C10" s="31">
        <v>10</v>
      </c>
      <c r="D10">
        <f t="shared" si="0"/>
        <v>1</v>
      </c>
      <c r="E10">
        <v>20</v>
      </c>
      <c r="F10" s="28">
        <f t="shared" si="8"/>
        <v>200</v>
      </c>
      <c r="G10" s="38">
        <f t="shared" si="1"/>
        <v>30.026</v>
      </c>
      <c r="H10" s="53">
        <f t="shared" si="2"/>
        <v>10</v>
      </c>
      <c r="I10" s="42">
        <f t="shared" si="3"/>
        <v>1</v>
      </c>
      <c r="J10" s="40">
        <v>50</v>
      </c>
      <c r="K10" s="59">
        <f t="shared" si="9"/>
        <v>1.5</v>
      </c>
      <c r="L10" s="61"/>
      <c r="M10" s="38">
        <f t="shared" si="4"/>
        <v>10.008666666666667</v>
      </c>
      <c r="N10" s="45">
        <f t="shared" si="5"/>
        <v>1.0008666666666666</v>
      </c>
      <c r="O10" s="50">
        <f t="shared" si="10"/>
        <v>0.99913408379404511</v>
      </c>
      <c r="P10" s="52">
        <f t="shared" si="6"/>
        <v>5000</v>
      </c>
      <c r="Q10">
        <v>5</v>
      </c>
      <c r="R10">
        <v>10</v>
      </c>
      <c r="S10">
        <v>5</v>
      </c>
      <c r="T10">
        <v>0</v>
      </c>
      <c r="U10">
        <v>0</v>
      </c>
      <c r="V10">
        <v>0</v>
      </c>
      <c r="W10">
        <f t="shared" si="7"/>
        <v>1</v>
      </c>
      <c r="X10">
        <v>0</v>
      </c>
      <c r="Y10">
        <v>0</v>
      </c>
      <c r="Z10">
        <v>0</v>
      </c>
    </row>
    <row r="11" spans="1:26">
      <c r="A11" s="27" t="s">
        <v>23</v>
      </c>
      <c r="B11" s="28">
        <v>60.06</v>
      </c>
      <c r="C11" s="31">
        <v>0.5</v>
      </c>
      <c r="D11">
        <f t="shared" si="0"/>
        <v>0.05</v>
      </c>
      <c r="E11">
        <v>20</v>
      </c>
      <c r="F11" s="28">
        <f t="shared" si="8"/>
        <v>10</v>
      </c>
      <c r="G11" s="38">
        <f t="shared" si="1"/>
        <v>0.60060000000000002</v>
      </c>
      <c r="H11" s="53">
        <f t="shared" si="2"/>
        <v>10</v>
      </c>
      <c r="I11" s="42">
        <f t="shared" si="3"/>
        <v>1</v>
      </c>
      <c r="J11" s="40">
        <v>50</v>
      </c>
      <c r="K11" s="59">
        <f t="shared" si="9"/>
        <v>0.03</v>
      </c>
      <c r="L11" s="61"/>
      <c r="M11" s="38">
        <f t="shared" si="4"/>
        <v>10.010000000000003</v>
      </c>
      <c r="N11" s="45">
        <f t="shared" si="5"/>
        <v>1.0010000000000003</v>
      </c>
      <c r="O11" s="50">
        <f t="shared" si="10"/>
        <v>0.9990009990009987</v>
      </c>
      <c r="P11" s="52">
        <f t="shared" si="6"/>
        <v>5000</v>
      </c>
      <c r="Q11">
        <v>1</v>
      </c>
      <c r="R11">
        <v>4</v>
      </c>
      <c r="S11">
        <v>2</v>
      </c>
      <c r="T11">
        <v>1</v>
      </c>
      <c r="U11">
        <v>0</v>
      </c>
      <c r="V11">
        <v>0</v>
      </c>
      <c r="W11">
        <f t="shared" si="7"/>
        <v>4</v>
      </c>
      <c r="X11">
        <v>0</v>
      </c>
      <c r="Y11">
        <v>0</v>
      </c>
      <c r="Z11">
        <v>0</v>
      </c>
    </row>
    <row r="12" spans="1:26">
      <c r="A12" s="27" t="s">
        <v>9</v>
      </c>
      <c r="B12" s="28" t="e">
        <v>#N/A</v>
      </c>
      <c r="C12" s="31">
        <v>1</v>
      </c>
      <c r="E12">
        <v>100</v>
      </c>
      <c r="F12" s="28">
        <f t="shared" si="8"/>
        <v>100</v>
      </c>
      <c r="G12" s="38" t="e">
        <f t="shared" si="1"/>
        <v>#N/A</v>
      </c>
      <c r="H12" s="53">
        <f t="shared" si="2"/>
        <v>2</v>
      </c>
      <c r="I12" s="42">
        <f t="shared" si="3"/>
        <v>0</v>
      </c>
      <c r="J12" s="40">
        <v>1</v>
      </c>
      <c r="K12" s="59" t="e">
        <f t="shared" si="9"/>
        <v>#N/A</v>
      </c>
      <c r="L12" s="61"/>
      <c r="M12" s="38" t="e">
        <f t="shared" si="4"/>
        <v>#N/A</v>
      </c>
      <c r="N12" s="45" t="e">
        <f t="shared" si="5"/>
        <v>#N/A</v>
      </c>
      <c r="O12" s="50" t="e">
        <f t="shared" si="10"/>
        <v>#N/A</v>
      </c>
      <c r="P12" s="52">
        <f>(J12 * 1000) / _xlfn.IFNA(ROUND(M12, 1), H12)</f>
        <v>500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e">
        <f t="shared" si="7"/>
        <v>#N/A</v>
      </c>
      <c r="X12">
        <v>0</v>
      </c>
      <c r="Y12">
        <v>0</v>
      </c>
      <c r="Z12">
        <v>0</v>
      </c>
    </row>
    <row r="13" spans="1:26">
      <c r="A13" s="27" t="s">
        <v>89</v>
      </c>
      <c r="B13" s="28">
        <v>172.07</v>
      </c>
      <c r="C13" s="31">
        <v>10</v>
      </c>
      <c r="E13">
        <v>50</v>
      </c>
      <c r="F13" s="28">
        <f t="shared" si="8"/>
        <v>500</v>
      </c>
      <c r="G13" s="38">
        <f t="shared" si="1"/>
        <v>86.034999999999997</v>
      </c>
      <c r="H13" s="53">
        <f t="shared" si="2"/>
        <v>4</v>
      </c>
      <c r="I13" s="42">
        <f t="shared" si="3"/>
        <v>0</v>
      </c>
      <c r="J13" s="40">
        <v>50</v>
      </c>
      <c r="K13" s="59">
        <f t="shared" si="9"/>
        <v>4.3</v>
      </c>
      <c r="L13" s="61"/>
      <c r="M13" s="38">
        <f t="shared" si="4"/>
        <v>4.0016279069767444</v>
      </c>
      <c r="N13" s="45">
        <f t="shared" si="5"/>
        <v>0</v>
      </c>
      <c r="O13" s="50">
        <f t="shared" si="10"/>
        <v>0.99959318881850401</v>
      </c>
      <c r="P13" s="52">
        <f t="shared" ref="P13:P20" si="11">(J13 * 1000) / _xlfn.IFNA(ROUND(M13, 1), H13)</f>
        <v>12500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e">
        <f t="shared" si="7"/>
        <v>#N/A</v>
      </c>
      <c r="X13">
        <v>0</v>
      </c>
      <c r="Y13">
        <v>0</v>
      </c>
      <c r="Z13">
        <v>0</v>
      </c>
    </row>
    <row r="14" spans="1:26">
      <c r="A14" s="27" t="s">
        <v>84</v>
      </c>
      <c r="B14">
        <v>82.034300000000002</v>
      </c>
      <c r="C14" s="31">
        <v>10</v>
      </c>
      <c r="E14">
        <v>50</v>
      </c>
      <c r="F14" s="28">
        <f t="shared" si="8"/>
        <v>500</v>
      </c>
      <c r="G14" s="38">
        <f t="shared" si="1"/>
        <v>41.017150000000001</v>
      </c>
      <c r="H14" s="53">
        <f t="shared" si="2"/>
        <v>4</v>
      </c>
      <c r="I14" s="42">
        <f t="shared" si="3"/>
        <v>0</v>
      </c>
      <c r="J14" s="40">
        <v>50</v>
      </c>
      <c r="K14" s="59">
        <f t="shared" ref="K14" si="12">ROUND(G14 * (J14/1000), 2)</f>
        <v>2.0499999999999998</v>
      </c>
      <c r="L14" s="61"/>
      <c r="M14" s="38">
        <f t="shared" si="4"/>
        <v>4.0016731707317073</v>
      </c>
      <c r="N14" s="45">
        <f t="shared" si="5"/>
        <v>0</v>
      </c>
      <c r="O14" s="50">
        <f t="shared" si="10"/>
        <v>0.99958188221268418</v>
      </c>
      <c r="P14" s="52">
        <f t="shared" si="11"/>
        <v>12500</v>
      </c>
      <c r="Q14">
        <v>2</v>
      </c>
      <c r="R14">
        <v>3</v>
      </c>
      <c r="S14">
        <v>0</v>
      </c>
      <c r="T14">
        <v>2</v>
      </c>
      <c r="U14">
        <v>0</v>
      </c>
      <c r="V14">
        <v>0</v>
      </c>
      <c r="W14">
        <f t="shared" ref="W14" si="13">IF(Q14 &gt; 0, 4-((4*Q14+R14-3*S14-2*T14+5*U14-2*V14)/Q14), NA())</f>
        <v>0.5</v>
      </c>
      <c r="X14">
        <v>1</v>
      </c>
      <c r="Y14">
        <v>0</v>
      </c>
      <c r="Z14">
        <v>0</v>
      </c>
    </row>
    <row r="15" spans="1:26">
      <c r="A15" s="27" t="s">
        <v>20</v>
      </c>
      <c r="B15" s="28">
        <v>58.44</v>
      </c>
      <c r="C15" s="31">
        <v>125</v>
      </c>
      <c r="D15">
        <f>C15/B$22</f>
        <v>12.5</v>
      </c>
      <c r="E15">
        <v>5</v>
      </c>
      <c r="F15" s="28">
        <f t="shared" si="8"/>
        <v>625</v>
      </c>
      <c r="G15" s="38">
        <f t="shared" si="1"/>
        <v>36.524999999999999</v>
      </c>
      <c r="H15" s="53">
        <f t="shared" si="2"/>
        <v>40</v>
      </c>
      <c r="I15" s="42">
        <f t="shared" si="3"/>
        <v>4</v>
      </c>
      <c r="J15" s="40">
        <v>50</v>
      </c>
      <c r="K15" s="59">
        <f t="shared" si="9"/>
        <v>1.83</v>
      </c>
      <c r="L15" s="61"/>
      <c r="M15" s="38">
        <f t="shared" si="4"/>
        <v>39.918032786885242</v>
      </c>
      <c r="N15" s="45">
        <f t="shared" si="5"/>
        <v>3.9918032786885242</v>
      </c>
      <c r="O15" s="50">
        <f t="shared" si="10"/>
        <v>1.0020533880903493</v>
      </c>
      <c r="P15" s="52">
        <f t="shared" si="11"/>
        <v>1253.1328320802006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e">
        <f t="shared" si="7"/>
        <v>#N/A</v>
      </c>
      <c r="X15">
        <v>1</v>
      </c>
      <c r="Y15">
        <v>0</v>
      </c>
      <c r="Z15">
        <v>1</v>
      </c>
    </row>
    <row r="16" spans="1:26">
      <c r="A16" s="27" t="s">
        <v>21</v>
      </c>
      <c r="B16" s="28">
        <v>74.551299999999998</v>
      </c>
      <c r="C16" s="31">
        <v>125</v>
      </c>
      <c r="D16">
        <f>C16/B$22</f>
        <v>12.5</v>
      </c>
      <c r="E16">
        <v>5</v>
      </c>
      <c r="F16" s="28">
        <f t="shared" si="8"/>
        <v>625</v>
      </c>
      <c r="G16" s="38">
        <f t="shared" si="1"/>
        <v>46.594562500000002</v>
      </c>
      <c r="H16" s="53">
        <f t="shared" si="2"/>
        <v>40</v>
      </c>
      <c r="I16" s="42">
        <f t="shared" si="3"/>
        <v>4</v>
      </c>
      <c r="J16" s="40">
        <v>50</v>
      </c>
      <c r="K16" s="59">
        <f t="shared" si="9"/>
        <v>2.33</v>
      </c>
      <c r="L16" s="61"/>
      <c r="M16" s="38">
        <f t="shared" si="4"/>
        <v>39.995332618025749</v>
      </c>
      <c r="N16" s="45">
        <f t="shared" si="5"/>
        <v>3.9995332618025747</v>
      </c>
      <c r="O16" s="50">
        <f t="shared" si="10"/>
        <v>1.0001166981662293</v>
      </c>
      <c r="P16" s="52">
        <f t="shared" si="11"/>
        <v>1250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e">
        <f t="shared" si="7"/>
        <v>#N/A</v>
      </c>
      <c r="X16">
        <v>0</v>
      </c>
      <c r="Y16">
        <v>1</v>
      </c>
      <c r="Z16">
        <v>1</v>
      </c>
    </row>
    <row r="17" spans="1:26">
      <c r="A17" s="27" t="s">
        <v>77</v>
      </c>
      <c r="B17" s="28" t="e">
        <v>#N/A</v>
      </c>
      <c r="C17" s="31">
        <v>1</v>
      </c>
      <c r="D17">
        <f>C17/B$22</f>
        <v>0.1</v>
      </c>
      <c r="E17">
        <v>1000</v>
      </c>
      <c r="F17" s="28">
        <f t="shared" si="8"/>
        <v>1000</v>
      </c>
      <c r="G17" s="38" t="e">
        <f t="shared" si="1"/>
        <v>#N/A</v>
      </c>
      <c r="H17" s="53">
        <f t="shared" si="2"/>
        <v>0.2</v>
      </c>
      <c r="I17" s="42">
        <f t="shared" si="3"/>
        <v>0.02</v>
      </c>
      <c r="J17" s="40">
        <v>50</v>
      </c>
      <c r="K17" s="59" t="e">
        <f t="shared" si="9"/>
        <v>#N/A</v>
      </c>
      <c r="L17" s="61"/>
      <c r="M17" s="38" t="e">
        <f t="shared" si="4"/>
        <v>#N/A</v>
      </c>
      <c r="N17" s="45" t="e">
        <f t="shared" si="5"/>
        <v>#N/A</v>
      </c>
      <c r="O17" s="50" t="e">
        <f t="shared" si="10"/>
        <v>#N/A</v>
      </c>
      <c r="P17" s="52">
        <f t="shared" si="11"/>
        <v>250000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e">
        <f t="shared" si="7"/>
        <v>#N/A</v>
      </c>
      <c r="X17">
        <v>0</v>
      </c>
      <c r="Y17">
        <v>0</v>
      </c>
      <c r="Z17">
        <v>0</v>
      </c>
    </row>
    <row r="18" spans="1:26">
      <c r="A18" s="27" t="s">
        <v>24</v>
      </c>
      <c r="B18" s="28">
        <v>53.491</v>
      </c>
      <c r="C18" s="31">
        <v>1</v>
      </c>
      <c r="D18">
        <f>C18/B$22</f>
        <v>0.1</v>
      </c>
      <c r="E18">
        <v>20</v>
      </c>
      <c r="F18" s="28">
        <f t="shared" si="8"/>
        <v>20</v>
      </c>
      <c r="G18" s="38">
        <f t="shared" si="1"/>
        <v>1.06982</v>
      </c>
      <c r="H18" s="53">
        <f t="shared" si="2"/>
        <v>10</v>
      </c>
      <c r="I18" s="42">
        <f t="shared" si="3"/>
        <v>1</v>
      </c>
      <c r="J18" s="40">
        <v>50</v>
      </c>
      <c r="K18" s="59">
        <f t="shared" si="9"/>
        <v>0.05</v>
      </c>
      <c r="L18" s="61"/>
      <c r="M18" s="38">
        <f t="shared" si="4"/>
        <v>10.6982</v>
      </c>
      <c r="N18" s="45">
        <f t="shared" si="5"/>
        <v>1.06982</v>
      </c>
      <c r="O18" s="50">
        <f t="shared" si="10"/>
        <v>1.0282103531435194</v>
      </c>
      <c r="P18" s="52">
        <f t="shared" si="11"/>
        <v>4672.8971962616824</v>
      </c>
      <c r="Q18">
        <v>0</v>
      </c>
      <c r="R18">
        <v>4</v>
      </c>
      <c r="S18">
        <v>1</v>
      </c>
      <c r="T18">
        <v>0</v>
      </c>
      <c r="U18">
        <v>0</v>
      </c>
      <c r="V18">
        <v>0</v>
      </c>
      <c r="W18" t="e">
        <f t="shared" si="7"/>
        <v>#N/A</v>
      </c>
      <c r="X18">
        <v>0</v>
      </c>
      <c r="Y18">
        <v>0</v>
      </c>
      <c r="Z18">
        <v>1</v>
      </c>
    </row>
    <row r="19" spans="1:26">
      <c r="A19" s="27" t="s">
        <v>161</v>
      </c>
      <c r="B19" s="28">
        <v>452.36</v>
      </c>
      <c r="C19" s="31">
        <v>2.2000000000000002</v>
      </c>
      <c r="E19">
        <v>2</v>
      </c>
      <c r="F19" s="28">
        <f t="shared" si="8"/>
        <v>4.4000000000000004</v>
      </c>
      <c r="G19" s="38">
        <f t="shared" si="1"/>
        <v>1.9903840000000002</v>
      </c>
      <c r="H19" s="53">
        <f t="shared" si="2"/>
        <v>100</v>
      </c>
      <c r="I19" s="42">
        <f t="shared" si="3"/>
        <v>0</v>
      </c>
      <c r="J19" s="40">
        <v>50</v>
      </c>
      <c r="K19" s="59">
        <f t="shared" si="9"/>
        <v>0.1</v>
      </c>
      <c r="L19" s="61"/>
      <c r="M19" s="38">
        <f t="shared" ref="M19" si="14">(C19* B$21) / (K19 * (1000/J19) * (1/B19) * 1000)</f>
        <v>99.519200000000026</v>
      </c>
      <c r="N19" s="45">
        <f t="shared" ref="N19" si="15">(D19* B$21) / (K19 * (1000/J19) * (1/B19) * 1000)</f>
        <v>0</v>
      </c>
      <c r="O19" s="50">
        <f t="shared" ref="O19" si="16">ROUND(M19, 0) / M19</f>
        <v>1.004831228546853</v>
      </c>
      <c r="P19" s="52">
        <f t="shared" ref="P19" si="17">(J19 * 1000) / _xlfn.IFNA(ROUND(M19, 1), H19)</f>
        <v>502.51256281407035</v>
      </c>
    </row>
    <row r="20" spans="1:26">
      <c r="A20" s="29" t="s">
        <v>109</v>
      </c>
      <c r="B20" s="30" t="e">
        <v>#N/A</v>
      </c>
      <c r="C20" s="32">
        <v>1</v>
      </c>
      <c r="D20" s="33"/>
      <c r="E20" s="33">
        <v>2</v>
      </c>
      <c r="F20" s="30">
        <f t="shared" si="8"/>
        <v>2</v>
      </c>
      <c r="G20" s="39" t="e">
        <f t="shared" si="1"/>
        <v>#N/A</v>
      </c>
      <c r="H20" s="54">
        <f t="shared" si="2"/>
        <v>100</v>
      </c>
      <c r="I20" s="43">
        <f t="shared" si="3"/>
        <v>0</v>
      </c>
      <c r="J20" s="41">
        <v>50</v>
      </c>
      <c r="K20" s="60" t="e">
        <f t="shared" si="9"/>
        <v>#N/A</v>
      </c>
      <c r="L20" s="62"/>
      <c r="M20" s="39" t="e">
        <f>(C20* B$21) / (K20 * (1000/J20) * (1/B20) * 1000)</f>
        <v>#N/A</v>
      </c>
      <c r="N20" s="47" t="e">
        <f>(D20* B$21) / (K20 * (1000/J20) * (1/B20) * 1000)</f>
        <v>#N/A</v>
      </c>
      <c r="O20" s="51" t="e">
        <f t="shared" si="10"/>
        <v>#N/A</v>
      </c>
      <c r="P20" s="52">
        <f t="shared" si="11"/>
        <v>500</v>
      </c>
    </row>
    <row r="21" spans="1:26">
      <c r="A21" s="7" t="s">
        <v>113</v>
      </c>
      <c r="B21">
        <v>200</v>
      </c>
      <c r="E21" s="58" t="s">
        <v>128</v>
      </c>
      <c r="H21" s="56"/>
      <c r="I21" s="56"/>
    </row>
    <row r="22" spans="1:26">
      <c r="A22" s="7" t="s">
        <v>126</v>
      </c>
      <c r="B22">
        <v>10</v>
      </c>
      <c r="H22" s="56"/>
      <c r="I22" s="56"/>
    </row>
    <row r="23" spans="1:26">
      <c r="A23" s="7"/>
      <c r="H23" s="56"/>
      <c r="I23" s="56"/>
    </row>
    <row r="24" spans="1:26">
      <c r="A24" s="63" t="s">
        <v>155</v>
      </c>
      <c r="H24" s="56"/>
      <c r="I24" s="56"/>
    </row>
    <row r="25" spans="1:26">
      <c r="A25" s="7" t="s">
        <v>156</v>
      </c>
    </row>
    <row r="27" spans="1:26">
      <c r="A27" s="9" t="s">
        <v>114</v>
      </c>
    </row>
    <row r="28" spans="1:26">
      <c r="A28" s="7" t="s">
        <v>119</v>
      </c>
    </row>
    <row r="29" spans="1:26">
      <c r="A29" s="7" t="s">
        <v>158</v>
      </c>
    </row>
    <row r="30" spans="1:26">
      <c r="A30" s="44" t="s">
        <v>157</v>
      </c>
    </row>
    <row r="33" spans="1:1">
      <c r="A33" s="7" t="s">
        <v>115</v>
      </c>
    </row>
    <row r="34" spans="1:1">
      <c r="A34" s="7" t="s">
        <v>116</v>
      </c>
    </row>
    <row r="36" spans="1:1">
      <c r="A36" s="9" t="s">
        <v>117</v>
      </c>
    </row>
    <row r="37" spans="1:1">
      <c r="A37" s="44" t="s">
        <v>118</v>
      </c>
    </row>
    <row r="38" spans="1:1">
      <c r="A38" s="44" t="s">
        <v>121</v>
      </c>
    </row>
    <row r="39" spans="1:1">
      <c r="A39" s="44" t="s">
        <v>120</v>
      </c>
    </row>
    <row r="41" spans="1:1">
      <c r="A41" s="55"/>
    </row>
    <row r="42" spans="1:1">
      <c r="A42" s="44"/>
    </row>
    <row r="44" spans="1:1">
      <c r="A44" s="44"/>
    </row>
  </sheetData>
  <conditionalFormatting sqref="M2:N20">
    <cfRule type="cellIs" dxfId="2" priority="3" stopIfTrue="1" operator="greaterThan">
      <formula>20</formula>
    </cfRule>
  </conditionalFormatting>
  <conditionalFormatting sqref="N2:N20">
    <cfRule type="cellIs" dxfId="1" priority="2" operator="lessThan">
      <formula>5</formula>
    </cfRule>
  </conditionalFormatting>
  <conditionalFormatting sqref="P2:P20">
    <cfRule type="cellIs" dxfId="0" priority="1" operator="lessThan">
      <formula>288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3D81-73DE-E245-A461-52958ED7FF91}">
  <dimension ref="A1:P77"/>
  <sheetViews>
    <sheetView zoomScale="110" zoomScaleNormal="110" workbookViewId="0">
      <selection activeCell="G2" sqref="G2"/>
    </sheetView>
  </sheetViews>
  <sheetFormatPr baseColWidth="10" defaultColWidth="11.5703125" defaultRowHeight="16"/>
  <cols>
    <col min="1" max="1" width="19.42578125" customWidth="1"/>
    <col min="2" max="2" width="11.85546875" customWidth="1"/>
    <col min="3" max="3" width="19.42578125" bestFit="1" customWidth="1"/>
    <col min="4" max="4" width="20.140625" bestFit="1" customWidth="1"/>
    <col min="5" max="5" width="22.42578125" bestFit="1" customWidth="1"/>
    <col min="6" max="6" width="30.7109375" bestFit="1" customWidth="1"/>
    <col min="7" max="7" width="11.5703125" bestFit="1" customWidth="1"/>
    <col min="8" max="8" width="8" customWidth="1"/>
    <col min="9" max="9" width="8.5703125" customWidth="1"/>
    <col min="10" max="10" width="10" customWidth="1"/>
    <col min="11" max="11" width="7.42578125" customWidth="1"/>
    <col min="12" max="12" width="6.42578125" customWidth="1"/>
  </cols>
  <sheetData>
    <row r="1" spans="1:16">
      <c r="A1" s="6" t="s">
        <v>0</v>
      </c>
      <c r="B1" t="s">
        <v>25</v>
      </c>
      <c r="C1" t="s">
        <v>26</v>
      </c>
      <c r="D1" t="s">
        <v>27</v>
      </c>
      <c r="E1" t="s">
        <v>97</v>
      </c>
      <c r="F1" s="4" t="s">
        <v>107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>
      <c r="A2" s="7" t="s">
        <v>40</v>
      </c>
      <c r="B2">
        <v>164.04730000000001</v>
      </c>
      <c r="C2" s="3">
        <f t="shared" ref="C2:C19" si="0">_xlfn.XLOOKUP(A2, A$26:A$43, E$26:E$43)</f>
        <v>6.0958028568589668E-4</v>
      </c>
      <c r="D2">
        <v>2.5</v>
      </c>
      <c r="E2" s="4">
        <f>D2 * B2</f>
        <v>410.11824999999999</v>
      </c>
      <c r="F2" s="4">
        <f>(D2 * B$20) / (C2 / 1000) * (1/1000000)</f>
        <v>205.05912499999999</v>
      </c>
      <c r="G2">
        <v>9</v>
      </c>
      <c r="H2">
        <v>8</v>
      </c>
      <c r="I2">
        <v>0</v>
      </c>
      <c r="J2">
        <v>3</v>
      </c>
      <c r="K2">
        <v>0</v>
      </c>
      <c r="L2">
        <v>0</v>
      </c>
      <c r="M2">
        <f t="shared" ref="M2:M18" si="1">IF(G2 &gt; 0, 4-((4*G2+H2-3*I2-2*J2+5*K2-2*L2)/G2), NA())</f>
        <v>-0.22222222222222232</v>
      </c>
      <c r="N2">
        <v>0</v>
      </c>
      <c r="O2">
        <v>0</v>
      </c>
      <c r="P2">
        <v>0</v>
      </c>
    </row>
    <row r="3" spans="1:16">
      <c r="A3" s="7" t="s">
        <v>15</v>
      </c>
      <c r="B3">
        <v>166.19</v>
      </c>
      <c r="C3" s="3">
        <v>0.3</v>
      </c>
      <c r="D3">
        <v>2</v>
      </c>
      <c r="E3" s="4">
        <f t="shared" ref="E3:E19" si="2">D3 * B3</f>
        <v>332.38</v>
      </c>
      <c r="F3" s="4">
        <f t="shared" ref="F3:F19" si="3">(D3 * B$20) / (C3 / 1000) * (1/1000000)</f>
        <v>0.33333333333333337</v>
      </c>
      <c r="G3">
        <v>8</v>
      </c>
      <c r="H3">
        <v>15</v>
      </c>
      <c r="I3">
        <v>0</v>
      </c>
      <c r="J3">
        <v>2</v>
      </c>
      <c r="K3">
        <v>0</v>
      </c>
      <c r="L3">
        <v>0</v>
      </c>
      <c r="M3">
        <f t="shared" si="1"/>
        <v>-1.375</v>
      </c>
      <c r="N3">
        <v>1</v>
      </c>
      <c r="O3">
        <v>0</v>
      </c>
      <c r="P3">
        <v>0</v>
      </c>
    </row>
    <row r="4" spans="1:16">
      <c r="A4" s="7" t="s">
        <v>17</v>
      </c>
      <c r="B4">
        <v>144.11000000000001</v>
      </c>
      <c r="C4" s="3">
        <f t="shared" si="0"/>
        <v>2.5</v>
      </c>
      <c r="D4">
        <v>2.5</v>
      </c>
      <c r="E4" s="4">
        <f t="shared" si="2"/>
        <v>360.27500000000003</v>
      </c>
      <c r="F4" s="4">
        <f t="shared" si="3"/>
        <v>4.9999999999999996E-2</v>
      </c>
      <c r="G4">
        <v>7</v>
      </c>
      <c r="H4">
        <v>5</v>
      </c>
      <c r="I4">
        <v>0</v>
      </c>
      <c r="J4">
        <v>2</v>
      </c>
      <c r="K4">
        <v>0</v>
      </c>
      <c r="L4">
        <v>0</v>
      </c>
      <c r="M4">
        <f t="shared" si="1"/>
        <v>-0.14285714285714324</v>
      </c>
      <c r="N4">
        <v>1</v>
      </c>
      <c r="O4">
        <v>0</v>
      </c>
      <c r="P4">
        <v>0</v>
      </c>
    </row>
    <row r="5" spans="1:16">
      <c r="A5" s="7" t="s">
        <v>12</v>
      </c>
      <c r="B5">
        <v>180.14599999999999</v>
      </c>
      <c r="C5" s="3">
        <f t="shared" si="0"/>
        <v>2</v>
      </c>
      <c r="D5">
        <v>10</v>
      </c>
      <c r="E5" s="4">
        <f>D5 * B5</f>
        <v>1801.4599999999998</v>
      </c>
      <c r="F5" s="4">
        <f t="shared" si="3"/>
        <v>0.25</v>
      </c>
      <c r="G5">
        <v>6</v>
      </c>
      <c r="H5">
        <v>12</v>
      </c>
      <c r="I5">
        <v>0</v>
      </c>
      <c r="J5">
        <v>6</v>
      </c>
      <c r="K5">
        <v>0</v>
      </c>
      <c r="L5">
        <v>0</v>
      </c>
      <c r="M5">
        <f t="shared" si="1"/>
        <v>0</v>
      </c>
      <c r="N5">
        <v>0</v>
      </c>
      <c r="O5">
        <v>0</v>
      </c>
      <c r="P5">
        <v>0</v>
      </c>
    </row>
    <row r="6" spans="1:16">
      <c r="A6" s="7" t="s">
        <v>14</v>
      </c>
      <c r="B6">
        <v>258.06</v>
      </c>
      <c r="C6" s="3">
        <f t="shared" si="0"/>
        <v>0.5</v>
      </c>
      <c r="D6">
        <v>10</v>
      </c>
      <c r="E6" s="4">
        <f t="shared" si="2"/>
        <v>2580.6</v>
      </c>
      <c r="F6" s="4">
        <f t="shared" si="3"/>
        <v>1</v>
      </c>
      <c r="G6">
        <v>6</v>
      </c>
      <c r="H6">
        <v>5</v>
      </c>
      <c r="I6">
        <v>0</v>
      </c>
      <c r="J6">
        <v>7</v>
      </c>
      <c r="K6">
        <v>0</v>
      </c>
      <c r="L6">
        <v>0</v>
      </c>
      <c r="M6">
        <f t="shared" si="1"/>
        <v>1.5</v>
      </c>
      <c r="N6">
        <v>3</v>
      </c>
      <c r="O6">
        <v>0</v>
      </c>
      <c r="P6">
        <v>0</v>
      </c>
    </row>
    <row r="7" spans="1:16">
      <c r="A7" s="7" t="s">
        <v>16</v>
      </c>
      <c r="B7">
        <v>82.034300000000002</v>
      </c>
      <c r="C7" s="3">
        <f t="shared" ref="C7:C10" si="4">_xlfn.XLOOKUP(A7, A$26:A$43, E$26:E$43)</f>
        <v>2.5</v>
      </c>
      <c r="D7">
        <v>30</v>
      </c>
      <c r="E7" s="4">
        <f t="shared" ref="E7:E10" si="5">D7 * B7</f>
        <v>2461.029</v>
      </c>
      <c r="F7" s="4">
        <f t="shared" si="3"/>
        <v>0.6</v>
      </c>
      <c r="G7">
        <v>2</v>
      </c>
      <c r="H7">
        <v>3</v>
      </c>
      <c r="I7">
        <v>0</v>
      </c>
      <c r="J7">
        <v>2</v>
      </c>
      <c r="K7">
        <v>0</v>
      </c>
      <c r="L7">
        <v>0</v>
      </c>
      <c r="M7">
        <f t="shared" si="1"/>
        <v>0.5</v>
      </c>
      <c r="N7">
        <v>1</v>
      </c>
      <c r="O7">
        <v>0</v>
      </c>
      <c r="P7">
        <v>0</v>
      </c>
    </row>
    <row r="8" spans="1:16">
      <c r="A8" s="7" t="s">
        <v>103</v>
      </c>
      <c r="B8">
        <v>150.13</v>
      </c>
      <c r="C8" s="3">
        <f t="shared" si="4"/>
        <v>2</v>
      </c>
      <c r="D8">
        <v>10</v>
      </c>
      <c r="E8" s="4">
        <f t="shared" si="5"/>
        <v>1501.3</v>
      </c>
      <c r="F8" s="4">
        <f t="shared" si="3"/>
        <v>0.25</v>
      </c>
      <c r="G8">
        <v>5</v>
      </c>
      <c r="H8">
        <v>10</v>
      </c>
      <c r="I8">
        <v>5</v>
      </c>
      <c r="J8">
        <v>0</v>
      </c>
      <c r="K8">
        <v>0</v>
      </c>
      <c r="L8">
        <v>0</v>
      </c>
      <c r="M8">
        <f t="shared" si="1"/>
        <v>1</v>
      </c>
      <c r="N8">
        <v>0</v>
      </c>
      <c r="O8">
        <v>0</v>
      </c>
      <c r="P8">
        <v>0</v>
      </c>
    </row>
    <row r="9" spans="1:16">
      <c r="A9" s="7" t="s">
        <v>104</v>
      </c>
      <c r="B9">
        <v>180.16</v>
      </c>
      <c r="C9" s="3">
        <f t="shared" si="4"/>
        <v>2</v>
      </c>
      <c r="D9">
        <v>10</v>
      </c>
      <c r="E9" s="4">
        <f t="shared" si="5"/>
        <v>1801.6</v>
      </c>
      <c r="F9" s="4">
        <f t="shared" si="3"/>
        <v>0.25</v>
      </c>
      <c r="G9">
        <v>6</v>
      </c>
      <c r="H9">
        <v>12</v>
      </c>
      <c r="I9">
        <v>6</v>
      </c>
      <c r="J9">
        <v>0</v>
      </c>
      <c r="K9">
        <v>0</v>
      </c>
      <c r="L9">
        <v>0</v>
      </c>
      <c r="M9">
        <f t="shared" si="1"/>
        <v>1</v>
      </c>
      <c r="N9">
        <v>0</v>
      </c>
      <c r="O9">
        <v>0</v>
      </c>
      <c r="P9">
        <v>0</v>
      </c>
    </row>
    <row r="10" spans="1:16">
      <c r="A10" s="7" t="s">
        <v>105</v>
      </c>
      <c r="B10">
        <v>150.13</v>
      </c>
      <c r="C10" s="3">
        <f t="shared" si="4"/>
        <v>2</v>
      </c>
      <c r="D10">
        <v>10</v>
      </c>
      <c r="E10" s="4">
        <f t="shared" si="5"/>
        <v>1501.3</v>
      </c>
      <c r="F10" s="4">
        <f t="shared" si="3"/>
        <v>0.25</v>
      </c>
      <c r="G10">
        <v>5</v>
      </c>
      <c r="H10">
        <v>10</v>
      </c>
      <c r="I10">
        <v>5</v>
      </c>
      <c r="J10">
        <v>0</v>
      </c>
      <c r="K10">
        <v>0</v>
      </c>
      <c r="L10">
        <v>0</v>
      </c>
      <c r="M10">
        <f t="shared" si="1"/>
        <v>1</v>
      </c>
      <c r="N10">
        <v>0</v>
      </c>
      <c r="O10">
        <v>0</v>
      </c>
      <c r="P10">
        <v>0</v>
      </c>
    </row>
    <row r="11" spans="1:16">
      <c r="A11" s="7" t="s">
        <v>84</v>
      </c>
      <c r="B11">
        <v>82.034300000000002</v>
      </c>
      <c r="C11" s="3">
        <f t="shared" si="0"/>
        <v>5</v>
      </c>
      <c r="D11">
        <v>20</v>
      </c>
      <c r="E11" s="4">
        <f t="shared" si="2"/>
        <v>1640.6860000000001</v>
      </c>
      <c r="F11" s="4">
        <f t="shared" si="3"/>
        <v>0.19999999999999998</v>
      </c>
      <c r="G11">
        <v>2</v>
      </c>
      <c r="H11">
        <v>3</v>
      </c>
      <c r="I11">
        <v>0</v>
      </c>
      <c r="J11">
        <v>2</v>
      </c>
      <c r="K11">
        <v>0</v>
      </c>
      <c r="L11">
        <v>0</v>
      </c>
      <c r="M11">
        <f t="shared" si="1"/>
        <v>0.5</v>
      </c>
      <c r="N11">
        <v>1</v>
      </c>
      <c r="O11">
        <v>0</v>
      </c>
      <c r="P11">
        <v>0</v>
      </c>
    </row>
    <row r="12" spans="1:16">
      <c r="A12" s="7" t="s">
        <v>23</v>
      </c>
      <c r="B12">
        <v>60.06</v>
      </c>
      <c r="C12" s="3">
        <f t="shared" si="0"/>
        <v>5</v>
      </c>
      <c r="D12">
        <v>5</v>
      </c>
      <c r="E12" s="4">
        <f t="shared" si="2"/>
        <v>300.3</v>
      </c>
      <c r="F12" s="4">
        <f t="shared" si="3"/>
        <v>4.9999999999999996E-2</v>
      </c>
      <c r="G12">
        <v>1</v>
      </c>
      <c r="H12">
        <v>4</v>
      </c>
      <c r="I12">
        <v>2</v>
      </c>
      <c r="J12">
        <v>1</v>
      </c>
      <c r="K12">
        <v>0</v>
      </c>
      <c r="L12">
        <v>0</v>
      </c>
      <c r="M12">
        <f t="shared" si="1"/>
        <v>4</v>
      </c>
      <c r="N12">
        <v>0</v>
      </c>
      <c r="O12">
        <v>0</v>
      </c>
      <c r="P12">
        <v>0</v>
      </c>
    </row>
    <row r="13" spans="1:16">
      <c r="A13" s="7" t="s">
        <v>9</v>
      </c>
      <c r="B13" t="e">
        <v>#N/A</v>
      </c>
      <c r="C13" s="3">
        <f t="shared" si="0"/>
        <v>100</v>
      </c>
      <c r="D13">
        <v>1000</v>
      </c>
      <c r="E13" s="4" t="e">
        <f t="shared" si="2"/>
        <v>#N/A</v>
      </c>
      <c r="F13" s="4">
        <f t="shared" si="3"/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e">
        <f t="shared" si="1"/>
        <v>#N/A</v>
      </c>
      <c r="N13">
        <v>0</v>
      </c>
      <c r="O13">
        <v>0</v>
      </c>
      <c r="P13">
        <v>0</v>
      </c>
    </row>
    <row r="14" spans="1:16">
      <c r="A14" s="2" t="s">
        <v>89</v>
      </c>
      <c r="B14">
        <v>172.07</v>
      </c>
      <c r="C14" s="3">
        <f>_xlfn.XLOOKUP(A14, A$26:A$43, E$26:E$43)</f>
        <v>0.5</v>
      </c>
      <c r="D14">
        <v>10</v>
      </c>
      <c r="E14" s="4">
        <f t="shared" ref="E14" si="6">D14 * B14</f>
        <v>1720.6999999999998</v>
      </c>
      <c r="F14" s="4">
        <f t="shared" si="3"/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e">
        <f t="shared" ref="M14" si="7">IF(G14 &gt; 0, 4-((4*G14+H14-3*I14-2*J14+5*K14-2*L14)/G14), NA())</f>
        <v>#N/A</v>
      </c>
      <c r="N14">
        <v>0</v>
      </c>
      <c r="O14">
        <v>0</v>
      </c>
      <c r="P14">
        <v>0</v>
      </c>
    </row>
    <row r="15" spans="1:16">
      <c r="A15" s="7" t="s">
        <v>20</v>
      </c>
      <c r="B15">
        <v>58.44</v>
      </c>
      <c r="C15" s="3">
        <f t="shared" si="0"/>
        <v>4</v>
      </c>
      <c r="D15">
        <v>125</v>
      </c>
      <c r="E15" s="4">
        <f t="shared" si="2"/>
        <v>7305</v>
      </c>
      <c r="F15" s="4">
        <f t="shared" si="3"/>
        <v>1.5625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e">
        <f t="shared" si="1"/>
        <v>#N/A</v>
      </c>
      <c r="N15">
        <v>1</v>
      </c>
      <c r="O15">
        <v>0</v>
      </c>
      <c r="P15">
        <v>1</v>
      </c>
    </row>
    <row r="16" spans="1:16">
      <c r="A16" s="7" t="s">
        <v>21</v>
      </c>
      <c r="B16">
        <v>74.551299999999998</v>
      </c>
      <c r="C16" s="3">
        <f t="shared" si="0"/>
        <v>3.5</v>
      </c>
      <c r="D16">
        <v>125</v>
      </c>
      <c r="E16" s="4">
        <f t="shared" si="2"/>
        <v>9318.9125000000004</v>
      </c>
      <c r="F16" s="4">
        <f t="shared" si="3"/>
        <v>1.7857142857142856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e">
        <f t="shared" si="1"/>
        <v>#N/A</v>
      </c>
      <c r="N16">
        <v>0</v>
      </c>
      <c r="O16">
        <v>1</v>
      </c>
      <c r="P16">
        <v>1</v>
      </c>
    </row>
    <row r="17" spans="1:16">
      <c r="A17" s="7" t="s">
        <v>77</v>
      </c>
      <c r="B17" t="e">
        <v>#N/A</v>
      </c>
      <c r="C17" s="3">
        <f>_xlfn.XLOOKUP(A17, A$26:A$43, E$26:E$43)</f>
        <v>1000</v>
      </c>
      <c r="D17">
        <v>100</v>
      </c>
      <c r="E17" s="4" t="e">
        <f t="shared" si="2"/>
        <v>#N/A</v>
      </c>
      <c r="F17" s="4">
        <f t="shared" si="3"/>
        <v>5.0000000000000001E-3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e">
        <f t="shared" si="1"/>
        <v>#N/A</v>
      </c>
      <c r="N17">
        <v>0</v>
      </c>
      <c r="O17">
        <v>0</v>
      </c>
      <c r="P17">
        <v>0</v>
      </c>
    </row>
    <row r="18" spans="1:16">
      <c r="A18" s="7" t="s">
        <v>24</v>
      </c>
      <c r="B18">
        <v>53.491</v>
      </c>
      <c r="C18" s="3">
        <f t="shared" si="0"/>
        <v>5</v>
      </c>
      <c r="D18">
        <v>10</v>
      </c>
      <c r="E18" s="4">
        <f t="shared" si="2"/>
        <v>534.91</v>
      </c>
      <c r="F18" s="4">
        <f t="shared" si="3"/>
        <v>9.9999999999999992E-2</v>
      </c>
      <c r="G18">
        <v>0</v>
      </c>
      <c r="H18">
        <v>4</v>
      </c>
      <c r="I18">
        <v>1</v>
      </c>
      <c r="J18">
        <v>0</v>
      </c>
      <c r="K18">
        <v>0</v>
      </c>
      <c r="L18">
        <v>0</v>
      </c>
      <c r="M18" t="e">
        <f t="shared" si="1"/>
        <v>#N/A</v>
      </c>
      <c r="N18">
        <v>0</v>
      </c>
      <c r="O18">
        <v>0</v>
      </c>
      <c r="P18">
        <v>1</v>
      </c>
    </row>
    <row r="19" spans="1:16">
      <c r="A19" s="7" t="s">
        <v>90</v>
      </c>
      <c r="B19">
        <v>251.17</v>
      </c>
      <c r="C19" s="3">
        <f t="shared" si="0"/>
        <v>0.02</v>
      </c>
      <c r="D19">
        <f>(C19 / 5) * 1000</f>
        <v>4</v>
      </c>
      <c r="E19" s="4">
        <f t="shared" si="2"/>
        <v>1004.68</v>
      </c>
      <c r="F19" s="4">
        <f t="shared" si="3"/>
        <v>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6">
      <c r="A20" s="7" t="s">
        <v>41</v>
      </c>
      <c r="B20">
        <v>50</v>
      </c>
    </row>
    <row r="21" spans="1:16">
      <c r="A21" s="7" t="s">
        <v>42</v>
      </c>
      <c r="B21">
        <v>60</v>
      </c>
    </row>
    <row r="22" spans="1:16">
      <c r="G22">
        <v>150</v>
      </c>
      <c r="H22">
        <f>G22 * (1 / B5)</f>
        <v>0.83265795521410424</v>
      </c>
      <c r="I22">
        <f>H22 * 1000</f>
        <v>832.65795521410428</v>
      </c>
    </row>
    <row r="23" spans="1:16">
      <c r="A23" s="7" t="s">
        <v>43</v>
      </c>
      <c r="G23" t="s">
        <v>99</v>
      </c>
      <c r="H23" t="s">
        <v>100</v>
      </c>
      <c r="I23" t="s">
        <v>101</v>
      </c>
    </row>
    <row r="25" spans="1:16" ht="34">
      <c r="A25" s="15" t="s">
        <v>0</v>
      </c>
      <c r="B25" s="13" t="s">
        <v>44</v>
      </c>
      <c r="C25" s="13" t="s">
        <v>45</v>
      </c>
      <c r="D25" s="13" t="s">
        <v>46</v>
      </c>
      <c r="E25" s="13" t="s">
        <v>106</v>
      </c>
    </row>
    <row r="26" spans="1:16">
      <c r="A26" s="2" t="s">
        <v>15</v>
      </c>
      <c r="B26">
        <v>166.19</v>
      </c>
      <c r="C26">
        <v>5</v>
      </c>
      <c r="D26" s="3">
        <f t="shared" ref="D26:D42" si="8">C26/B26 * 10</f>
        <v>0.30086046091822616</v>
      </c>
      <c r="E26" s="18">
        <v>0.5</v>
      </c>
      <c r="F26" t="s">
        <v>47</v>
      </c>
      <c r="G26" t="s">
        <v>48</v>
      </c>
    </row>
    <row r="27" spans="1:16">
      <c r="A27" s="2" t="s">
        <v>17</v>
      </c>
      <c r="B27">
        <v>144.11000000000001</v>
      </c>
      <c r="C27">
        <v>66</v>
      </c>
      <c r="D27" s="3">
        <f t="shared" si="8"/>
        <v>4.5798348483797096</v>
      </c>
      <c r="E27" s="18">
        <v>2.5</v>
      </c>
      <c r="F27" t="s">
        <v>47</v>
      </c>
    </row>
    <row r="28" spans="1:16">
      <c r="A28" s="2" t="s">
        <v>12</v>
      </c>
      <c r="B28">
        <v>180.14599999999999</v>
      </c>
      <c r="C28">
        <v>90</v>
      </c>
      <c r="D28" s="3">
        <f t="shared" si="8"/>
        <v>4.995947731284625</v>
      </c>
      <c r="E28" s="18">
        <v>2</v>
      </c>
      <c r="F28" t="s">
        <v>47</v>
      </c>
    </row>
    <row r="29" spans="1:16">
      <c r="A29" s="2" t="s">
        <v>16</v>
      </c>
      <c r="B29">
        <v>82.034300000000002</v>
      </c>
      <c r="C29">
        <v>46.4</v>
      </c>
      <c r="D29" s="3">
        <f>C29/B29 * 10</f>
        <v>5.6561706505693348</v>
      </c>
      <c r="E29" s="18">
        <v>2.5</v>
      </c>
      <c r="F29" t="s">
        <v>47</v>
      </c>
    </row>
    <row r="30" spans="1:16">
      <c r="A30" s="7" t="s">
        <v>103</v>
      </c>
      <c r="B30">
        <v>150.13</v>
      </c>
      <c r="C30" s="3">
        <f>1/ 0.8 * 100</f>
        <v>125</v>
      </c>
      <c r="D30" s="3">
        <f t="shared" ref="D30:D32" si="9">C30/B30 * 10</f>
        <v>8.3261173649503757</v>
      </c>
      <c r="E30" s="4">
        <v>2</v>
      </c>
      <c r="F30" s="4" t="s">
        <v>47</v>
      </c>
    </row>
    <row r="31" spans="1:16">
      <c r="A31" s="7" t="s">
        <v>104</v>
      </c>
      <c r="B31">
        <v>180.16</v>
      </c>
      <c r="C31" s="3">
        <f>650 / 10</f>
        <v>65</v>
      </c>
      <c r="D31" s="3">
        <f t="shared" si="9"/>
        <v>3.607904085257549</v>
      </c>
      <c r="E31" s="4">
        <v>2</v>
      </c>
      <c r="F31" s="4" t="s">
        <v>47</v>
      </c>
      <c r="G31" t="s">
        <v>112</v>
      </c>
    </row>
    <row r="32" spans="1:16">
      <c r="A32" s="7" t="s">
        <v>105</v>
      </c>
      <c r="B32">
        <v>150.13</v>
      </c>
      <c r="C32" s="3">
        <f>834/10</f>
        <v>83.4</v>
      </c>
      <c r="D32" s="3">
        <f t="shared" si="9"/>
        <v>5.555185505894892</v>
      </c>
      <c r="E32" s="4">
        <v>2</v>
      </c>
      <c r="F32" s="4" t="s">
        <v>47</v>
      </c>
    </row>
    <row r="33" spans="1:15">
      <c r="A33" s="2" t="s">
        <v>14</v>
      </c>
      <c r="B33">
        <v>258.06</v>
      </c>
      <c r="C33">
        <v>42.5</v>
      </c>
      <c r="D33" s="3">
        <f t="shared" si="8"/>
        <v>1.6469038208168643</v>
      </c>
      <c r="E33" s="18">
        <v>0.5</v>
      </c>
      <c r="F33" t="s">
        <v>47</v>
      </c>
      <c r="G33" t="s">
        <v>102</v>
      </c>
    </row>
    <row r="34" spans="1:15">
      <c r="A34" s="2" t="s">
        <v>23</v>
      </c>
      <c r="B34">
        <v>60.06</v>
      </c>
      <c r="C34">
        <v>108</v>
      </c>
      <c r="D34" s="3">
        <f t="shared" si="8"/>
        <v>17.982017982017982</v>
      </c>
      <c r="E34" s="20">
        <v>5</v>
      </c>
      <c r="F34" t="s">
        <v>49</v>
      </c>
    </row>
    <row r="35" spans="1:15">
      <c r="A35" s="2" t="s">
        <v>24</v>
      </c>
      <c r="B35">
        <v>53.491</v>
      </c>
      <c r="C35">
        <v>37.200000000000003</v>
      </c>
      <c r="D35" s="3">
        <f>C35/B35 * 10</f>
        <v>6.954440933988896</v>
      </c>
      <c r="E35" s="20">
        <v>5</v>
      </c>
      <c r="F35" t="s">
        <v>50</v>
      </c>
    </row>
    <row r="36" spans="1:15">
      <c r="A36" s="2" t="s">
        <v>9</v>
      </c>
      <c r="B36" t="e">
        <v>#N/A</v>
      </c>
      <c r="D36" s="3" t="e">
        <f t="shared" si="8"/>
        <v>#N/A</v>
      </c>
      <c r="E36" s="3">
        <v>100</v>
      </c>
      <c r="F36" t="s">
        <v>76</v>
      </c>
    </row>
    <row r="37" spans="1:15">
      <c r="A37" s="2" t="s">
        <v>20</v>
      </c>
      <c r="B37">
        <v>58.44</v>
      </c>
      <c r="C37">
        <v>35.89</v>
      </c>
      <c r="D37" s="3">
        <f t="shared" si="8"/>
        <v>6.1413415468856947</v>
      </c>
      <c r="E37" s="24">
        <v>4</v>
      </c>
      <c r="F37" t="s">
        <v>76</v>
      </c>
    </row>
    <row r="38" spans="1:15">
      <c r="A38" s="2" t="s">
        <v>21</v>
      </c>
      <c r="B38">
        <v>74.551299999999998</v>
      </c>
      <c r="C38">
        <v>34.200000000000003</v>
      </c>
      <c r="D38" s="3">
        <f t="shared" si="8"/>
        <v>4.5874451552152689</v>
      </c>
      <c r="E38" s="24">
        <v>3.5</v>
      </c>
      <c r="F38" t="s">
        <v>76</v>
      </c>
    </row>
    <row r="39" spans="1:15">
      <c r="A39" t="s">
        <v>77</v>
      </c>
      <c r="B39" t="e">
        <v>#N/A</v>
      </c>
      <c r="D39" t="e">
        <f t="shared" si="8"/>
        <v>#N/A</v>
      </c>
      <c r="E39" s="24">
        <v>1000</v>
      </c>
      <c r="F39" t="s">
        <v>76</v>
      </c>
      <c r="G39" t="s">
        <v>78</v>
      </c>
    </row>
    <row r="40" spans="1:15">
      <c r="A40" s="2" t="s">
        <v>84</v>
      </c>
      <c r="B40">
        <v>68.010000000000005</v>
      </c>
      <c r="C40">
        <v>97.2</v>
      </c>
      <c r="D40" s="3">
        <f>C40/B40 * 10</f>
        <v>14.292015880017644</v>
      </c>
      <c r="E40" s="26">
        <v>5</v>
      </c>
      <c r="F40" t="s">
        <v>88</v>
      </c>
      <c r="G40" t="str">
        <f>C40 * (E40/D40)  * 0.5 &amp; "g per 50 mL"</f>
        <v>17.0025g per 50 mL</v>
      </c>
    </row>
    <row r="41" spans="1:15">
      <c r="A41" s="2" t="s">
        <v>89</v>
      </c>
      <c r="B41">
        <v>172.07</v>
      </c>
      <c r="C41">
        <v>10</v>
      </c>
      <c r="D41" s="3">
        <f t="shared" si="8"/>
        <v>0.58115883070843266</v>
      </c>
      <c r="E41" s="26">
        <v>0.5</v>
      </c>
      <c r="F41" t="s">
        <v>88</v>
      </c>
      <c r="G41" t="str">
        <f>C41/100 * (1/2) * 1000 &amp; " mg per 500 uL"</f>
        <v>50 mg per 500 uL</v>
      </c>
    </row>
    <row r="42" spans="1:15">
      <c r="A42" s="2" t="s">
        <v>90</v>
      </c>
      <c r="B42">
        <v>251.17</v>
      </c>
      <c r="C42">
        <v>0.5</v>
      </c>
      <c r="D42" s="3">
        <f t="shared" si="8"/>
        <v>1.9906836007484968E-2</v>
      </c>
      <c r="E42" s="3">
        <v>0.02</v>
      </c>
      <c r="F42" t="s">
        <v>91</v>
      </c>
      <c r="G42" t="s">
        <v>92</v>
      </c>
      <c r="K42">
        <v>5</v>
      </c>
      <c r="L42">
        <f>K42 * (1000 / 1)</f>
        <v>5000</v>
      </c>
      <c r="M42">
        <f>L42 * (1/1000)</f>
        <v>5</v>
      </c>
      <c r="N42">
        <f>M42 * 10</f>
        <v>50</v>
      </c>
      <c r="O42">
        <f>K42 * (100/1000)</f>
        <v>0.5</v>
      </c>
    </row>
    <row r="43" spans="1:15">
      <c r="A43" s="16" t="s">
        <v>40</v>
      </c>
      <c r="B43" s="14">
        <v>164.04730000000001</v>
      </c>
      <c r="C43" s="14">
        <v>0.01</v>
      </c>
      <c r="D43" s="17">
        <f>C43/B43 * 10</f>
        <v>6.0958028568589668E-4</v>
      </c>
      <c r="E43" s="17">
        <v>6.0958028568589668E-4</v>
      </c>
      <c r="K43" t="s">
        <v>93</v>
      </c>
      <c r="L43" t="s">
        <v>94</v>
      </c>
      <c r="M43" t="s">
        <v>95</v>
      </c>
      <c r="N43" t="s">
        <v>96</v>
      </c>
      <c r="O43" t="s">
        <v>98</v>
      </c>
    </row>
    <row r="44" spans="1:15">
      <c r="A44" s="21" t="s">
        <v>22</v>
      </c>
      <c r="B44" s="22" t="e">
        <v>#N/A</v>
      </c>
      <c r="C44" s="22"/>
      <c r="D44" s="22"/>
      <c r="E44" s="23"/>
    </row>
    <row r="46" spans="1:15" ht="68">
      <c r="A46" s="10" t="s">
        <v>0</v>
      </c>
      <c r="B46" s="8" t="s">
        <v>44</v>
      </c>
      <c r="C46" s="8" t="s">
        <v>51</v>
      </c>
      <c r="D46" t="s">
        <v>36</v>
      </c>
      <c r="E46" t="s">
        <v>52</v>
      </c>
      <c r="F46" s="8" t="s">
        <v>53</v>
      </c>
      <c r="G46" s="8" t="s">
        <v>54</v>
      </c>
      <c r="H46" s="8" t="s">
        <v>55</v>
      </c>
      <c r="I46" s="8" t="s">
        <v>26</v>
      </c>
      <c r="J46" s="11" t="s">
        <v>28</v>
      </c>
      <c r="K46" s="8" t="s">
        <v>29</v>
      </c>
      <c r="L46" s="8" t="s">
        <v>56</v>
      </c>
    </row>
    <row r="47" spans="1:15">
      <c r="A47" s="7" t="s">
        <v>12</v>
      </c>
      <c r="B47" s="3">
        <f>_xlfn.XLOOKUP($A47, A$26:A$39, B$26:B$39)</f>
        <v>180.14599999999999</v>
      </c>
      <c r="C47" s="3">
        <f t="shared" ref="C47:C54" si="10">_xlfn.XLOOKUP($A47,A$1:A$18, G$1:G$18)</f>
        <v>6</v>
      </c>
      <c r="D47" s="3">
        <f>_xlfn.XLOOKUP($A47, A$1:A$18, M$1:M$18)</f>
        <v>0</v>
      </c>
      <c r="E47" s="3">
        <f>60.3 - (28.5 * D47)</f>
        <v>60.3</v>
      </c>
      <c r="F47">
        <v>180</v>
      </c>
      <c r="G47" s="12">
        <f>F47/B47</f>
        <v>0.99918954625692502</v>
      </c>
      <c r="H47" s="3">
        <f>G47 * E47</f>
        <v>60.251129639292579</v>
      </c>
      <c r="I47" s="3">
        <f>_xlfn.XLOOKUP(A47, A$26:A$39, D$26:D$39)</f>
        <v>4.995947731284625</v>
      </c>
      <c r="J47" s="5">
        <f>(G47 * B$20) / (I47 / 1000) * (1/1000000) * 1000</f>
        <v>10.000000000000002</v>
      </c>
      <c r="K47" s="5">
        <f>J47 / 2.5</f>
        <v>4.0000000000000009</v>
      </c>
      <c r="L47">
        <f>I47 / (G47 / 1000)</f>
        <v>5000</v>
      </c>
    </row>
    <row r="48" spans="1:15">
      <c r="B48" s="3"/>
      <c r="C48" s="3" t="e">
        <f t="shared" si="10"/>
        <v>#N/A</v>
      </c>
      <c r="D48" s="3"/>
      <c r="E48" s="3"/>
      <c r="G48" s="12"/>
      <c r="H48" s="3"/>
      <c r="I48" s="3"/>
      <c r="J48" s="5"/>
      <c r="K48" s="5"/>
    </row>
    <row r="49" spans="1:12">
      <c r="A49" s="7" t="s">
        <v>40</v>
      </c>
      <c r="B49" s="3" t="e">
        <f t="shared" ref="B49:B54" si="11">_xlfn.XLOOKUP($A49, A$26:A$39, B$26:B$39)</f>
        <v>#N/A</v>
      </c>
      <c r="C49" s="3">
        <f t="shared" si="10"/>
        <v>9</v>
      </c>
      <c r="D49" s="3">
        <f t="shared" ref="D49:D54" si="12">_xlfn.XLOOKUP($A49, A$1:A$18, M$1:M$18)</f>
        <v>-0.22222222222222232</v>
      </c>
      <c r="E49" s="3">
        <f t="shared" ref="E49:E54" si="13">60.3 - (28.5 * D49)</f>
        <v>66.633333333333326</v>
      </c>
      <c r="F49">
        <v>150</v>
      </c>
      <c r="G49" s="12" t="e">
        <f t="shared" ref="G49:G54" si="14">F49/B49</f>
        <v>#N/A</v>
      </c>
      <c r="H49" s="3" t="e">
        <f t="shared" ref="H49:H54" si="15">G49 * E49</f>
        <v>#N/A</v>
      </c>
      <c r="I49" s="3" t="e">
        <f t="shared" ref="I49:I54" si="16">_xlfn.XLOOKUP(A49, A$26:A$39, D$26:D$39)</f>
        <v>#N/A</v>
      </c>
      <c r="J49" s="5" t="e">
        <f t="shared" ref="J49:J54" si="17">(G49 * B$20) / (I49 / 1000) * (1/1000000) * 1000</f>
        <v>#N/A</v>
      </c>
      <c r="K49" s="5" t="e">
        <f t="shared" ref="K49:K54" si="18">J49 / 2.5</f>
        <v>#N/A</v>
      </c>
      <c r="L49" t="e">
        <f t="shared" ref="L49:L54" si="19">I49 / (G49 / 1000)</f>
        <v>#N/A</v>
      </c>
    </row>
    <row r="50" spans="1:12">
      <c r="A50" s="7" t="s">
        <v>15</v>
      </c>
      <c r="B50" s="3">
        <f t="shared" si="11"/>
        <v>166.19</v>
      </c>
      <c r="C50" s="3">
        <f t="shared" si="10"/>
        <v>8</v>
      </c>
      <c r="D50" s="3">
        <f t="shared" si="12"/>
        <v>-1.375</v>
      </c>
      <c r="E50" s="3">
        <f t="shared" si="13"/>
        <v>99.487499999999997</v>
      </c>
      <c r="F50">
        <v>100</v>
      </c>
      <c r="G50" s="12">
        <f t="shared" si="14"/>
        <v>0.60172092183645232</v>
      </c>
      <c r="H50" s="3">
        <f t="shared" si="15"/>
        <v>59.863710211204051</v>
      </c>
      <c r="I50" s="3">
        <f t="shared" si="16"/>
        <v>0.30086046091822616</v>
      </c>
      <c r="J50" s="5">
        <f t="shared" si="17"/>
        <v>99.999999999999986</v>
      </c>
      <c r="K50" s="5">
        <f t="shared" si="18"/>
        <v>39.999999999999993</v>
      </c>
      <c r="L50">
        <f t="shared" si="19"/>
        <v>499.99999999999994</v>
      </c>
    </row>
    <row r="51" spans="1:12">
      <c r="A51" s="7" t="s">
        <v>17</v>
      </c>
      <c r="B51" s="3">
        <f t="shared" si="11"/>
        <v>144.11000000000001</v>
      </c>
      <c r="C51" s="3">
        <f t="shared" si="10"/>
        <v>7</v>
      </c>
      <c r="D51" s="3">
        <f t="shared" si="12"/>
        <v>-0.14285714285714324</v>
      </c>
      <c r="E51" s="3">
        <f t="shared" si="13"/>
        <v>64.371428571428581</v>
      </c>
      <c r="F51">
        <v>135</v>
      </c>
      <c r="G51" s="12">
        <f t="shared" si="14"/>
        <v>0.93678440080494063</v>
      </c>
      <c r="H51" s="3">
        <f t="shared" si="15"/>
        <v>60.302150143243757</v>
      </c>
      <c r="I51" s="3">
        <f t="shared" si="16"/>
        <v>4.5798348483797096</v>
      </c>
      <c r="J51" s="5">
        <f t="shared" si="17"/>
        <v>10.227272727272725</v>
      </c>
      <c r="K51" s="5">
        <f t="shared" si="18"/>
        <v>4.0909090909090899</v>
      </c>
      <c r="L51">
        <f t="shared" si="19"/>
        <v>4888.8888888888887</v>
      </c>
    </row>
    <row r="52" spans="1:12">
      <c r="A52" s="7" t="s">
        <v>14</v>
      </c>
      <c r="B52" s="3">
        <f t="shared" si="11"/>
        <v>258.06</v>
      </c>
      <c r="C52" s="3">
        <f t="shared" si="10"/>
        <v>6</v>
      </c>
      <c r="D52" s="3">
        <f t="shared" si="12"/>
        <v>1.5</v>
      </c>
      <c r="E52" s="3">
        <f t="shared" si="13"/>
        <v>17.549999999999997</v>
      </c>
      <c r="F52">
        <v>890</v>
      </c>
      <c r="G52" s="12">
        <f t="shared" si="14"/>
        <v>3.4488103541811981</v>
      </c>
      <c r="H52" s="3">
        <f t="shared" si="15"/>
        <v>60.526621715880019</v>
      </c>
      <c r="I52" s="3">
        <f t="shared" si="16"/>
        <v>1.6469038208168643</v>
      </c>
      <c r="J52" s="5">
        <f t="shared" si="17"/>
        <v>104.70588235294119</v>
      </c>
      <c r="K52" s="5">
        <f t="shared" si="18"/>
        <v>41.882352941176478</v>
      </c>
      <c r="L52">
        <f t="shared" si="19"/>
        <v>477.52808988764048</v>
      </c>
    </row>
    <row r="53" spans="1:12">
      <c r="A53" s="7" t="s">
        <v>16</v>
      </c>
      <c r="B53" s="3">
        <f t="shared" si="11"/>
        <v>82.034300000000002</v>
      </c>
      <c r="C53" s="3">
        <f t="shared" si="10"/>
        <v>2</v>
      </c>
      <c r="D53" s="3">
        <f t="shared" si="12"/>
        <v>0.5</v>
      </c>
      <c r="E53" s="3">
        <f t="shared" si="13"/>
        <v>46.05</v>
      </c>
      <c r="F53">
        <v>110</v>
      </c>
      <c r="G53" s="12">
        <f t="shared" si="14"/>
        <v>1.3409025249194544</v>
      </c>
      <c r="H53" s="3">
        <f t="shared" si="15"/>
        <v>61.748561272540869</v>
      </c>
      <c r="I53" s="3">
        <f t="shared" si="16"/>
        <v>5.6561706505693348</v>
      </c>
      <c r="J53" s="5">
        <f t="shared" si="17"/>
        <v>11.853448275862069</v>
      </c>
      <c r="K53" s="5">
        <f t="shared" si="18"/>
        <v>4.7413793103448274</v>
      </c>
      <c r="L53">
        <f t="shared" si="19"/>
        <v>4218.181818181818</v>
      </c>
    </row>
    <row r="54" spans="1:12">
      <c r="A54" s="7" t="s">
        <v>23</v>
      </c>
      <c r="B54" s="3">
        <f t="shared" si="11"/>
        <v>60.06</v>
      </c>
      <c r="C54" s="3">
        <f t="shared" si="10"/>
        <v>1</v>
      </c>
      <c r="D54" s="3">
        <f t="shared" si="12"/>
        <v>4</v>
      </c>
      <c r="E54" s="3">
        <f t="shared" si="13"/>
        <v>-53.7</v>
      </c>
      <c r="F54">
        <v>100</v>
      </c>
      <c r="G54" s="12">
        <f t="shared" si="14"/>
        <v>1.665001665001665</v>
      </c>
      <c r="H54" s="3">
        <f t="shared" si="15"/>
        <v>-89.410589410589409</v>
      </c>
      <c r="I54" s="3">
        <f t="shared" si="16"/>
        <v>17.982017982017982</v>
      </c>
      <c r="J54" s="5">
        <f t="shared" si="17"/>
        <v>4.6296296296296298</v>
      </c>
      <c r="K54" s="5">
        <f t="shared" si="18"/>
        <v>1.8518518518518519</v>
      </c>
      <c r="L54">
        <f t="shared" si="19"/>
        <v>10800</v>
      </c>
    </row>
    <row r="55" spans="1:12">
      <c r="A55" s="7"/>
      <c r="C55" s="3"/>
      <c r="H55" t="s">
        <v>57</v>
      </c>
    </row>
    <row r="56" spans="1:12">
      <c r="A56" s="7" t="s">
        <v>58</v>
      </c>
    </row>
    <row r="58" spans="1:12">
      <c r="A58" s="19" t="s">
        <v>59</v>
      </c>
    </row>
    <row r="59" spans="1:12">
      <c r="A59" s="9" t="s">
        <v>60</v>
      </c>
    </row>
    <row r="60" spans="1:12">
      <c r="A60" s="7" t="s">
        <v>61</v>
      </c>
    </row>
    <row r="61" spans="1:12">
      <c r="A61" s="7" t="s">
        <v>62</v>
      </c>
    </row>
    <row r="62" spans="1:12">
      <c r="A62" s="7" t="s">
        <v>63</v>
      </c>
    </row>
    <row r="63" spans="1:12">
      <c r="A63" s="7" t="s">
        <v>64</v>
      </c>
    </row>
    <row r="64" spans="1:12">
      <c r="A64" s="7" t="s">
        <v>65</v>
      </c>
    </row>
    <row r="65" spans="1:1">
      <c r="A65" s="7" t="s">
        <v>66</v>
      </c>
    </row>
    <row r="66" spans="1:1">
      <c r="A66" s="7" t="s">
        <v>67</v>
      </c>
    </row>
    <row r="67" spans="1:1">
      <c r="A67" s="7" t="s">
        <v>68</v>
      </c>
    </row>
    <row r="68" spans="1:1">
      <c r="A68" t="s">
        <v>69</v>
      </c>
    </row>
    <row r="69" spans="1:1">
      <c r="A69" t="s">
        <v>70</v>
      </c>
    </row>
    <row r="70" spans="1:1">
      <c r="A70" t="s">
        <v>71</v>
      </c>
    </row>
    <row r="71" spans="1:1">
      <c r="A71" t="s">
        <v>72</v>
      </c>
    </row>
    <row r="72" spans="1:1">
      <c r="A72" t="s">
        <v>73</v>
      </c>
    </row>
    <row r="73" spans="1:1">
      <c r="A73" t="s">
        <v>74</v>
      </c>
    </row>
    <row r="74" spans="1:1">
      <c r="A74" t="s">
        <v>75</v>
      </c>
    </row>
    <row r="75" spans="1:1">
      <c r="A75" t="s">
        <v>86</v>
      </c>
    </row>
    <row r="76" spans="1:1">
      <c r="A76" s="25" t="s">
        <v>81</v>
      </c>
    </row>
    <row r="77" spans="1:1">
      <c r="A77" t="s">
        <v>82</v>
      </c>
    </row>
  </sheetData>
  <sortState xmlns:xlrd2="http://schemas.microsoft.com/office/spreadsheetml/2017/richdata2" ref="A2:P18">
    <sortCondition descending="1" ref="G2:G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dispensing_worksheet</vt:lpstr>
      <vt:lpstr>c_compound_conversions_OLD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Stone, Bram W</dc:creator>
  <cp:keywords/>
  <dc:description/>
  <cp:lastModifiedBy>Stone, Bram W</cp:lastModifiedBy>
  <cp:revision/>
  <dcterms:created xsi:type="dcterms:W3CDTF">2025-01-14T20:18:15Z</dcterms:created>
  <dcterms:modified xsi:type="dcterms:W3CDTF">2025-11-05T18:22:27Z</dcterms:modified>
  <cp:category/>
  <cp:contentStatus/>
</cp:coreProperties>
</file>